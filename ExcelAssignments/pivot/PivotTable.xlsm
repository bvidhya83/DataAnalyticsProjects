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idhya\training\excel\Assignment-3\Assignment 3\"/>
    </mc:Choice>
  </mc:AlternateContent>
  <xr:revisionPtr revIDLastSave="0" documentId="8_{63C18333-DF55-429F-A764-546F5B34ADE5}" xr6:coauthVersionLast="47" xr6:coauthVersionMax="47" xr10:uidLastSave="{00000000-0000-0000-0000-000000000000}"/>
  <bookViews>
    <workbookView xWindow="-108" yWindow="-108" windowWidth="23256" windowHeight="12576" activeTab="1" xr2:uid="{E7653B44-75B0-430C-AB68-382A82F160B4}"/>
  </bookViews>
  <sheets>
    <sheet name="Sheet1" sheetId="1" r:id="rId1"/>
    <sheet name="Sheet2" sheetId="3" r:id="rId2"/>
    <sheet name="Original data" sheetId="2" state="hidden" r:id="rId3"/>
  </sheets>
  <calcPr calcId="181029" iterate="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1" l="1" a="1"/>
  <c r="I9" i="1" s="1"/>
  <c r="J26" i="1" s="1"/>
  <c r="I8" i="1"/>
  <c r="I7" i="1"/>
  <c r="I15" i="1"/>
  <c r="I12" i="1"/>
  <c r="P3" i="1"/>
  <c r="P4" i="1"/>
  <c r="P5" i="1"/>
  <c r="P6" i="1"/>
  <c r="P7" i="1"/>
  <c r="P8" i="1"/>
  <c r="P2" i="1"/>
  <c r="O10" i="1" l="1"/>
</calcChain>
</file>

<file path=xl/sharedStrings.xml><?xml version="1.0" encoding="utf-8"?>
<sst xmlns="http://schemas.openxmlformats.org/spreadsheetml/2006/main" count="340" uniqueCount="50">
  <si>
    <t>Date</t>
  </si>
  <si>
    <t>Store</t>
  </si>
  <si>
    <t>Category</t>
  </si>
  <si>
    <t>Groceries</t>
  </si>
  <si>
    <t>Automotive</t>
  </si>
  <si>
    <t>Henry's Car Parts</t>
  </si>
  <si>
    <t>Restaurants</t>
  </si>
  <si>
    <t>Gas</t>
  </si>
  <si>
    <t>Hardware</t>
  </si>
  <si>
    <t>Viking Hardware</t>
  </si>
  <si>
    <t>Moe's Market</t>
  </si>
  <si>
    <t>Pets</t>
  </si>
  <si>
    <t>The Otter Side</t>
  </si>
  <si>
    <t>Korner Mart</t>
  </si>
  <si>
    <t>Town Market</t>
  </si>
  <si>
    <t>Kwik Way</t>
  </si>
  <si>
    <t>Yolanda's</t>
  </si>
  <si>
    <t>Vinnie's</t>
  </si>
  <si>
    <t>Cup 'o Joe</t>
  </si>
  <si>
    <t>Barstucks</t>
  </si>
  <si>
    <t>Penny's Pets</t>
  </si>
  <si>
    <t>Otto's Auto Mart</t>
  </si>
  <si>
    <t>Clothing</t>
  </si>
  <si>
    <t>Retro Outfits</t>
  </si>
  <si>
    <t>Sid's Socks</t>
  </si>
  <si>
    <t>Pants "R" Us</t>
  </si>
  <si>
    <t>Grocer Griff</t>
  </si>
  <si>
    <t>Kip's Koffee Beans</t>
  </si>
  <si>
    <t>Date:</t>
  </si>
  <si>
    <t>Total expenses:</t>
  </si>
  <si>
    <t>Max expense:</t>
  </si>
  <si>
    <t>Category:</t>
  </si>
  <si>
    <t>Amount</t>
  </si>
  <si>
    <t>Number of transactions:</t>
  </si>
  <si>
    <t>Store:</t>
  </si>
  <si>
    <t>PART A: TRANSACTION LOOKUP</t>
  </si>
  <si>
    <t>*Do NOT change the location</t>
  </si>
  <si>
    <t>of any of the cells in columns</t>
  </si>
  <si>
    <t>F through I!</t>
  </si>
  <si>
    <t>*Be sure to RESET data using</t>
  </si>
  <si>
    <t>the button below BEFORE clicking</t>
  </si>
  <si>
    <t>TRANSACTION LOOKUP</t>
  </si>
  <si>
    <t>the "Check Part 3.1" button!</t>
  </si>
  <si>
    <t>of any of the cells in column I!</t>
  </si>
  <si>
    <t>STORE</t>
  </si>
  <si>
    <t>CATEGORY</t>
  </si>
  <si>
    <t>Row Labels</t>
  </si>
  <si>
    <t>Grand Total</t>
  </si>
  <si>
    <t>Column Labels</t>
  </si>
  <si>
    <t>Sum of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</si>
</sst>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Border="1"/>
    <xf numFmtId="44" fontId="0" fillId="0" borderId="0" xfId="1" applyFont="1" applyBorder="1"/>
    <xf numFmtId="14" fontId="0" fillId="0" borderId="0" xfId="0" applyNumberFormat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0" xfId="0" applyFont="1" applyBorder="1"/>
    <xf numFmtId="44" fontId="0" fillId="3" borderId="1" xfId="1" applyFont="1" applyFill="1" applyBorder="1"/>
    <xf numFmtId="0" fontId="0" fillId="3" borderId="1" xfId="0" applyFill="1" applyBorder="1"/>
    <xf numFmtId="14" fontId="0" fillId="2" borderId="1" xfId="0" applyNumberFormat="1" applyFill="1" applyBorder="1"/>
    <xf numFmtId="0" fontId="0" fillId="2" borderId="1" xfId="0" applyFill="1" applyBorder="1"/>
    <xf numFmtId="44" fontId="0" fillId="0" borderId="0" xfId="0" applyNumberFormat="1" applyBorder="1"/>
    <xf numFmtId="0" fontId="0" fillId="0" borderId="0" xfId="0" applyFill="1" applyBorder="1"/>
    <xf numFmtId="44" fontId="0" fillId="3" borderId="1" xfId="1" applyNumberFormat="1" applyFont="1" applyFill="1" applyBorder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16</xdr:row>
          <xdr:rowOff>76200</xdr:rowOff>
        </xdr:from>
        <xdr:to>
          <xdr:col>7</xdr:col>
          <xdr:colOff>480060</xdr:colOff>
          <xdr:row>18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Part 3.1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632460</xdr:colOff>
          <xdr:row>20</xdr:row>
          <xdr:rowOff>137160</xdr:rowOff>
        </xdr:from>
        <xdr:to>
          <xdr:col>7</xdr:col>
          <xdr:colOff>533400</xdr:colOff>
          <xdr:row>23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data (columns A --&gt; D)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lson" refreshedDate="44257.439407291669" createdVersion="6" refreshedVersion="6" minRefreshableVersion="3" recordCount="39" xr:uid="{61BE0DBD-424B-4C36-A442-4AC340429CDE}">
  <cacheSource type="worksheet">
    <worksheetSource name="Table1"/>
  </cacheSource>
  <cacheFields count="4">
    <cacheField name="Date" numFmtId="14">
      <sharedItems containsSemiMixedTypes="0" containsNonDate="0" containsDate="1" containsString="0" minDate="2020-01-01T00:00:00" maxDate="2020-02-01T00:00:00" count="21">
        <d v="2020-01-01T00:00:00"/>
        <d v="2020-01-02T00:00:00"/>
        <d v="2020-01-04T00:00:00"/>
        <d v="2020-01-05T00:00:00"/>
        <d v="2020-01-08T00:00:00"/>
        <d v="2020-01-09T00:00:00"/>
        <d v="2020-01-10T00:00:00"/>
        <d v="2020-01-12T00:00:00"/>
        <d v="2020-01-13T00:00:00"/>
        <d v="2020-01-15T00:00:00"/>
        <d v="2020-01-16T00:00:00"/>
        <d v="2020-01-18T00:00:00"/>
        <d v="2020-01-19T00:00:00"/>
        <d v="2020-01-21T00:00:00"/>
        <d v="2020-01-23T00:00:00"/>
        <d v="2020-01-24T00:00:00"/>
        <d v="2020-01-26T00:00:00"/>
        <d v="2020-01-27T00:00:00"/>
        <d v="2020-01-28T00:00:00"/>
        <d v="2020-01-30T00:00:00"/>
        <d v="2020-01-31T00:00:00"/>
      </sharedItems>
    </cacheField>
    <cacheField name="Store" numFmtId="0">
      <sharedItems count="18">
        <s v="Cup 'o Joe"/>
        <s v="Henry's Car Parts"/>
        <s v="Moe's Market"/>
        <s v="The Otter Side"/>
        <s v="Korner Mart"/>
        <s v="Barstucks"/>
        <s v="Viking Hardware"/>
        <s v="Penny's Pets"/>
        <s v="Retro Outfits"/>
        <s v="Yolanda's"/>
        <s v="Town Market"/>
        <s v="Grocer Griff"/>
        <s v="Kip's Koffee Beans"/>
        <s v="Sid's Socks"/>
        <s v="Kwik Way"/>
        <s v="Pants &quot;R&quot; Us"/>
        <s v="Vinnie's"/>
        <s v="Otto's Auto Mart"/>
      </sharedItems>
    </cacheField>
    <cacheField name="Category" numFmtId="0">
      <sharedItems count="7">
        <s v="Restaurants"/>
        <s v="Automotive"/>
        <s v="Groceries"/>
        <s v="Gas"/>
        <s v="Hardware"/>
        <s v="Pets"/>
        <s v="Clothing"/>
      </sharedItems>
    </cacheField>
    <cacheField name="Amount" numFmtId="44">
      <sharedItems containsSemiMixedTypes="0" containsString="0" containsNumber="1" minValue="2.35" maxValue="356.12" count="33">
        <n v="2.35"/>
        <n v="23.87"/>
        <n v="45.19"/>
        <n v="32.22"/>
        <n v="28.9"/>
        <n v="3.24"/>
        <n v="78.12"/>
        <n v="42.09"/>
        <n v="56.32"/>
        <n v="13.89"/>
        <n v="19.32"/>
        <n v="5.46"/>
        <n v="29.01"/>
        <n v="39.119999999999997"/>
        <n v="87.23"/>
        <n v="10.08"/>
        <n v="27.34"/>
        <n v="13.45"/>
        <n v="17.2"/>
        <n v="19.84"/>
        <n v="12.76"/>
        <n v="18.43"/>
        <n v="20.87"/>
        <n v="62.38"/>
        <n v="45.93"/>
        <n v="8.67"/>
        <n v="356.12"/>
        <n v="52.74"/>
        <n v="10.79"/>
        <n v="12.84"/>
        <n v="9.23"/>
        <n v="45.28"/>
        <n v="34.6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x v="0"/>
    <x v="0"/>
  </r>
  <r>
    <x v="0"/>
    <x v="1"/>
    <x v="1"/>
    <x v="1"/>
  </r>
  <r>
    <x v="1"/>
    <x v="2"/>
    <x v="2"/>
    <x v="2"/>
  </r>
  <r>
    <x v="2"/>
    <x v="3"/>
    <x v="0"/>
    <x v="3"/>
  </r>
  <r>
    <x v="2"/>
    <x v="4"/>
    <x v="3"/>
    <x v="4"/>
  </r>
  <r>
    <x v="3"/>
    <x v="5"/>
    <x v="0"/>
    <x v="5"/>
  </r>
  <r>
    <x v="3"/>
    <x v="6"/>
    <x v="4"/>
    <x v="6"/>
  </r>
  <r>
    <x v="3"/>
    <x v="7"/>
    <x v="5"/>
    <x v="7"/>
  </r>
  <r>
    <x v="4"/>
    <x v="8"/>
    <x v="6"/>
    <x v="8"/>
  </r>
  <r>
    <x v="4"/>
    <x v="2"/>
    <x v="2"/>
    <x v="9"/>
  </r>
  <r>
    <x v="5"/>
    <x v="0"/>
    <x v="0"/>
    <x v="0"/>
  </r>
  <r>
    <x v="6"/>
    <x v="5"/>
    <x v="0"/>
    <x v="5"/>
  </r>
  <r>
    <x v="6"/>
    <x v="4"/>
    <x v="3"/>
    <x v="10"/>
  </r>
  <r>
    <x v="7"/>
    <x v="0"/>
    <x v="0"/>
    <x v="11"/>
  </r>
  <r>
    <x v="7"/>
    <x v="9"/>
    <x v="0"/>
    <x v="12"/>
  </r>
  <r>
    <x v="8"/>
    <x v="10"/>
    <x v="2"/>
    <x v="13"/>
  </r>
  <r>
    <x v="8"/>
    <x v="2"/>
    <x v="2"/>
    <x v="14"/>
  </r>
  <r>
    <x v="9"/>
    <x v="0"/>
    <x v="0"/>
    <x v="0"/>
  </r>
  <r>
    <x v="9"/>
    <x v="4"/>
    <x v="3"/>
    <x v="15"/>
  </r>
  <r>
    <x v="10"/>
    <x v="11"/>
    <x v="2"/>
    <x v="16"/>
  </r>
  <r>
    <x v="10"/>
    <x v="12"/>
    <x v="2"/>
    <x v="17"/>
  </r>
  <r>
    <x v="11"/>
    <x v="13"/>
    <x v="6"/>
    <x v="18"/>
  </r>
  <r>
    <x v="11"/>
    <x v="10"/>
    <x v="2"/>
    <x v="19"/>
  </r>
  <r>
    <x v="12"/>
    <x v="0"/>
    <x v="0"/>
    <x v="0"/>
  </r>
  <r>
    <x v="13"/>
    <x v="14"/>
    <x v="3"/>
    <x v="20"/>
  </r>
  <r>
    <x v="13"/>
    <x v="7"/>
    <x v="5"/>
    <x v="21"/>
  </r>
  <r>
    <x v="13"/>
    <x v="2"/>
    <x v="2"/>
    <x v="22"/>
  </r>
  <r>
    <x v="14"/>
    <x v="15"/>
    <x v="6"/>
    <x v="23"/>
  </r>
  <r>
    <x v="14"/>
    <x v="16"/>
    <x v="0"/>
    <x v="24"/>
  </r>
  <r>
    <x v="15"/>
    <x v="14"/>
    <x v="3"/>
    <x v="25"/>
  </r>
  <r>
    <x v="15"/>
    <x v="17"/>
    <x v="1"/>
    <x v="26"/>
  </r>
  <r>
    <x v="16"/>
    <x v="10"/>
    <x v="2"/>
    <x v="27"/>
  </r>
  <r>
    <x v="17"/>
    <x v="0"/>
    <x v="0"/>
    <x v="28"/>
  </r>
  <r>
    <x v="17"/>
    <x v="5"/>
    <x v="0"/>
    <x v="5"/>
  </r>
  <r>
    <x v="17"/>
    <x v="2"/>
    <x v="2"/>
    <x v="29"/>
  </r>
  <r>
    <x v="18"/>
    <x v="0"/>
    <x v="0"/>
    <x v="0"/>
  </r>
  <r>
    <x v="19"/>
    <x v="14"/>
    <x v="3"/>
    <x v="30"/>
  </r>
  <r>
    <x v="19"/>
    <x v="17"/>
    <x v="1"/>
    <x v="31"/>
  </r>
  <r>
    <x v="20"/>
    <x v="11"/>
    <x v="2"/>
    <x v="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8D05A4-833F-484F-AB24-4F7A4E78D20D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G26:G30" firstHeaderRow="1" firstDataRow="1" firstDataCol="1" rowPageCount="1" colPageCount="1"/>
  <pivotFields count="4">
    <pivotField numFmtId="14" showAll="0"/>
    <pivotField axis="axisRow" showAll="0">
      <items count="19">
        <item x="5"/>
        <item x="0"/>
        <item x="11"/>
        <item x="1"/>
        <item x="12"/>
        <item x="4"/>
        <item x="14"/>
        <item x="2"/>
        <item x="17"/>
        <item x="15"/>
        <item x="7"/>
        <item x="8"/>
        <item x="13"/>
        <item x="3"/>
        <item x="10"/>
        <item x="6"/>
        <item x="16"/>
        <item x="9"/>
        <item t="default"/>
      </items>
    </pivotField>
    <pivotField axis="axisPage" showAll="0">
      <items count="8">
        <item x="1"/>
        <item x="6"/>
        <item x="3"/>
        <item x="2"/>
        <item x="4"/>
        <item x="5"/>
        <item x="0"/>
        <item t="default"/>
      </items>
    </pivotField>
    <pivotField numFmtId="44" showAll="0">
      <items count="34">
        <item x="0"/>
        <item x="5"/>
        <item x="11"/>
        <item x="25"/>
        <item x="30"/>
        <item x="15"/>
        <item x="28"/>
        <item x="20"/>
        <item x="29"/>
        <item x="17"/>
        <item x="9"/>
        <item x="18"/>
        <item x="21"/>
        <item x="10"/>
        <item x="19"/>
        <item x="22"/>
        <item x="1"/>
        <item x="16"/>
        <item x="4"/>
        <item x="12"/>
        <item x="3"/>
        <item x="32"/>
        <item x="13"/>
        <item x="7"/>
        <item x="2"/>
        <item x="31"/>
        <item x="24"/>
        <item x="27"/>
        <item x="8"/>
        <item x="23"/>
        <item x="6"/>
        <item x="14"/>
        <item x="26"/>
        <item t="default"/>
      </items>
    </pivotField>
  </pivotFields>
  <rowFields count="1">
    <field x="1"/>
  </rowFields>
  <rowItems count="4">
    <i>
      <x v="9"/>
    </i>
    <i>
      <x v="11"/>
    </i>
    <i>
      <x v="12"/>
    </i>
    <i t="grand">
      <x/>
    </i>
  </rowItems>
  <colItems count="1">
    <i/>
  </colItems>
  <pageFields count="1">
    <pageField fld="2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ED0F1C-96A9-4644-A1F0-27ED2E0DA334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G2:O22" firstHeaderRow="1" firstDataRow="2" firstDataCol="1"/>
  <pivotFields count="4">
    <pivotField numFmtId="14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showAll="0">
      <items count="19">
        <item x="5"/>
        <item x="0"/>
        <item x="11"/>
        <item x="1"/>
        <item x="12"/>
        <item x="4"/>
        <item x="14"/>
        <item x="2"/>
        <item x="17"/>
        <item x="15"/>
        <item x="7"/>
        <item x="8"/>
        <item x="13"/>
        <item x="3"/>
        <item x="10"/>
        <item x="6"/>
        <item x="16"/>
        <item x="9"/>
        <item t="default"/>
      </items>
    </pivotField>
    <pivotField axis="axisCol" showAll="0">
      <items count="8">
        <item x="1"/>
        <item x="6"/>
        <item x="3"/>
        <item x="2"/>
        <item x="4"/>
        <item x="5"/>
        <item x="0"/>
        <item t="default"/>
      </items>
    </pivotField>
    <pivotField dataField="1" numFmtId="44" showAll="0"/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AC9609-1201-4BC2-A83C-288E65D29668}" name="Table1" displayName="Table1" ref="A1:D40" totalsRowShown="0" headerRowDxfId="2">
  <autoFilter ref="A1:D40" xr:uid="{95F18A11-A22C-4751-9271-FEAB7EEA99C8}"/>
  <tableColumns count="4">
    <tableColumn id="1" xr3:uid="{2BABAE56-723D-4EEC-B8C2-8E91C7957B7D}" name="Date" dataDxfId="1"/>
    <tableColumn id="2" xr3:uid="{CFA53F78-BAF1-4906-9046-8F3B5687AEAC}" name="Store"/>
    <tableColumn id="3" xr3:uid="{EA7C07EE-E02D-4CDD-A800-5568ADA6E605}" name="Category"/>
    <tableColumn id="4" xr3:uid="{A147218B-92C1-46DD-BE52-F956BEBC5E27}" name="Amount" dataDxfId="0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75E32-9C0E-4000-A69C-B2D27EB3429C}">
  <sheetPr codeName="Sheet1"/>
  <dimension ref="A1:P57"/>
  <sheetViews>
    <sheetView topLeftCell="A14" workbookViewId="0">
      <selection sqref="A1:D40"/>
    </sheetView>
  </sheetViews>
  <sheetFormatPr defaultRowHeight="14.4" x14ac:dyDescent="0.3"/>
  <cols>
    <col min="1" max="1" width="11.88671875" customWidth="1"/>
    <col min="2" max="2" width="16.44140625" bestFit="1" customWidth="1"/>
    <col min="3" max="3" width="10.109375" bestFit="1" customWidth="1"/>
    <col min="5" max="5" width="9.21875" bestFit="1" customWidth="1"/>
    <col min="9" max="9" width="11.6640625" customWidth="1"/>
    <col min="14" max="14" width="15.44140625" customWidth="1"/>
    <col min="15" max="15" width="16" customWidth="1"/>
    <col min="16" max="16" width="16.77734375" customWidth="1"/>
  </cols>
  <sheetData>
    <row r="1" spans="1:16" x14ac:dyDescent="0.3">
      <c r="A1" s="6" t="s">
        <v>0</v>
      </c>
      <c r="B1" s="6" t="s">
        <v>1</v>
      </c>
      <c r="C1" s="6" t="s">
        <v>2</v>
      </c>
      <c r="D1" s="6" t="s">
        <v>32</v>
      </c>
      <c r="E1" s="1"/>
      <c r="F1" s="1"/>
      <c r="G1" s="1"/>
      <c r="H1" s="1"/>
      <c r="I1" s="1"/>
      <c r="J1" s="1"/>
      <c r="K1" s="1"/>
      <c r="N1" t="s">
        <v>44</v>
      </c>
      <c r="O1" t="s">
        <v>45</v>
      </c>
    </row>
    <row r="2" spans="1:16" x14ac:dyDescent="0.3">
      <c r="A2" s="3">
        <v>43831</v>
      </c>
      <c r="B2" s="1" t="s">
        <v>18</v>
      </c>
      <c r="C2" s="1" t="s">
        <v>6</v>
      </c>
      <c r="D2" s="2">
        <v>2.35</v>
      </c>
      <c r="E2" s="3"/>
      <c r="F2" s="1"/>
      <c r="G2" s="1"/>
      <c r="H2" s="1"/>
      <c r="I2" s="1"/>
      <c r="J2" s="1"/>
      <c r="K2" s="1"/>
      <c r="N2" s="1" t="s">
        <v>18</v>
      </c>
      <c r="O2" s="1" t="s">
        <v>6</v>
      </c>
      <c r="P2" s="1">
        <f t="shared" ref="P2:P8" si="0">SUMIF($C$2:$C$41,O2,$D$2:$D$41)</f>
        <v>144.88</v>
      </c>
    </row>
    <row r="3" spans="1:16" x14ac:dyDescent="0.3">
      <c r="A3" s="3">
        <v>43831</v>
      </c>
      <c r="B3" s="1" t="s">
        <v>5</v>
      </c>
      <c r="C3" s="1" t="s">
        <v>4</v>
      </c>
      <c r="D3" s="2">
        <v>23.87</v>
      </c>
      <c r="E3" s="3"/>
      <c r="F3" s="1"/>
      <c r="G3" s="1"/>
      <c r="H3" s="1"/>
      <c r="I3" s="1"/>
      <c r="J3" s="1"/>
      <c r="K3" s="1"/>
      <c r="N3" s="1" t="s">
        <v>5</v>
      </c>
      <c r="O3" s="1" t="s">
        <v>4</v>
      </c>
      <c r="P3" s="1">
        <f t="shared" si="0"/>
        <v>425.27</v>
      </c>
    </row>
    <row r="4" spans="1:16" x14ac:dyDescent="0.3">
      <c r="A4" s="3">
        <v>43832</v>
      </c>
      <c r="B4" s="1" t="s">
        <v>10</v>
      </c>
      <c r="C4" s="1" t="s">
        <v>3</v>
      </c>
      <c r="D4" s="2">
        <v>45.19</v>
      </c>
      <c r="E4" s="1"/>
      <c r="F4" s="17" t="s">
        <v>41</v>
      </c>
      <c r="G4" s="17"/>
      <c r="H4" s="17"/>
      <c r="I4" s="17"/>
      <c r="J4" s="1"/>
      <c r="K4" s="1"/>
      <c r="N4" s="1" t="s">
        <v>10</v>
      </c>
      <c r="O4" s="1" t="s">
        <v>3</v>
      </c>
      <c r="P4" s="1">
        <f t="shared" si="0"/>
        <v>367.15999999999997</v>
      </c>
    </row>
    <row r="5" spans="1:16" x14ac:dyDescent="0.3">
      <c r="A5" s="3">
        <v>43834</v>
      </c>
      <c r="B5" s="1" t="s">
        <v>12</v>
      </c>
      <c r="C5" s="1" t="s">
        <v>6</v>
      </c>
      <c r="D5" s="2">
        <v>32.22</v>
      </c>
      <c r="E5" s="1"/>
      <c r="F5" s="1"/>
      <c r="G5" s="1"/>
      <c r="H5" s="1"/>
      <c r="I5" s="1"/>
      <c r="J5" s="1"/>
      <c r="K5" s="1"/>
      <c r="N5" s="1" t="s">
        <v>12</v>
      </c>
      <c r="O5" s="1" t="s">
        <v>7</v>
      </c>
      <c r="P5" s="1">
        <f t="shared" si="0"/>
        <v>88.960000000000008</v>
      </c>
    </row>
    <row r="6" spans="1:16" x14ac:dyDescent="0.3">
      <c r="A6" s="3">
        <v>43834</v>
      </c>
      <c r="B6" s="1" t="s">
        <v>13</v>
      </c>
      <c r="C6" s="1" t="s">
        <v>7</v>
      </c>
      <c r="D6" s="2">
        <v>28.9</v>
      </c>
      <c r="E6" s="1"/>
      <c r="F6" s="1"/>
      <c r="G6" s="1"/>
      <c r="H6" s="4" t="s">
        <v>28</v>
      </c>
      <c r="I6" s="9">
        <v>43842</v>
      </c>
      <c r="J6" s="1"/>
      <c r="K6" s="1" t="s">
        <v>36</v>
      </c>
      <c r="N6" s="1" t="s">
        <v>13</v>
      </c>
      <c r="O6" s="1" t="s">
        <v>8</v>
      </c>
      <c r="P6" s="1">
        <f t="shared" si="0"/>
        <v>78.12</v>
      </c>
    </row>
    <row r="7" spans="1:16" x14ac:dyDescent="0.3">
      <c r="A7" s="3">
        <v>43835</v>
      </c>
      <c r="B7" s="1" t="s">
        <v>19</v>
      </c>
      <c r="C7" s="1" t="s">
        <v>6</v>
      </c>
      <c r="D7" s="2">
        <v>3.24</v>
      </c>
      <c r="E7" s="1"/>
      <c r="F7" s="1"/>
      <c r="G7" s="1"/>
      <c r="H7" s="4" t="s">
        <v>29</v>
      </c>
      <c r="I7" s="7">
        <f>SUMIF($A$2:$A$41,I6,$D$2:$D$41)</f>
        <v>34.47</v>
      </c>
      <c r="J7" s="1"/>
      <c r="K7" s="1" t="s">
        <v>43</v>
      </c>
      <c r="N7" s="1" t="s">
        <v>19</v>
      </c>
      <c r="O7" s="1" t="s">
        <v>11</v>
      </c>
      <c r="P7" s="1">
        <f t="shared" si="0"/>
        <v>60.52</v>
      </c>
    </row>
    <row r="8" spans="1:16" x14ac:dyDescent="0.3">
      <c r="A8" s="3">
        <v>43835</v>
      </c>
      <c r="B8" s="1" t="s">
        <v>9</v>
      </c>
      <c r="C8" s="1" t="s">
        <v>8</v>
      </c>
      <c r="D8" s="2">
        <v>78.12</v>
      </c>
      <c r="E8" s="1"/>
      <c r="F8" s="1"/>
      <c r="G8" s="1"/>
      <c r="H8" s="4" t="s">
        <v>33</v>
      </c>
      <c r="I8" s="8">
        <f>COUNTIF(A2:A41,I6)</f>
        <v>2</v>
      </c>
      <c r="J8" s="1"/>
      <c r="K8" s="1"/>
      <c r="N8" s="1" t="s">
        <v>9</v>
      </c>
      <c r="O8" s="1" t="s">
        <v>22</v>
      </c>
      <c r="P8" s="1">
        <f t="shared" si="0"/>
        <v>135.9</v>
      </c>
    </row>
    <row r="9" spans="1:16" x14ac:dyDescent="0.3">
      <c r="A9" s="3">
        <v>43835</v>
      </c>
      <c r="B9" s="1" t="s">
        <v>20</v>
      </c>
      <c r="C9" s="1" t="s">
        <v>11</v>
      </c>
      <c r="D9" s="2">
        <v>42.09</v>
      </c>
      <c r="E9" s="1"/>
      <c r="F9" s="1"/>
      <c r="G9" s="1"/>
      <c r="H9" s="4" t="s">
        <v>30</v>
      </c>
      <c r="I9" s="13">
        <f t="array" ref="I9">MAX(IF($A$2:$A$41=I6,$D$2:$D$41))</f>
        <v>29.01</v>
      </c>
      <c r="J9" s="1"/>
      <c r="K9" s="1"/>
      <c r="N9" s="1" t="s">
        <v>20</v>
      </c>
    </row>
    <row r="10" spans="1:16" x14ac:dyDescent="0.3">
      <c r="A10" s="3">
        <v>43838</v>
      </c>
      <c r="B10" s="1" t="s">
        <v>23</v>
      </c>
      <c r="C10" s="1" t="s">
        <v>22</v>
      </c>
      <c r="D10" s="2">
        <v>56.32</v>
      </c>
      <c r="E10" s="1"/>
      <c r="F10" s="1"/>
      <c r="G10" s="1"/>
      <c r="H10" s="4"/>
      <c r="J10" s="1"/>
      <c r="K10" s="1"/>
      <c r="N10" s="1" t="s">
        <v>23</v>
      </c>
      <c r="O10">
        <f>MAX(P2:P8)</f>
        <v>425.27</v>
      </c>
    </row>
    <row r="11" spans="1:16" x14ac:dyDescent="0.3">
      <c r="A11" s="3">
        <v>43838</v>
      </c>
      <c r="B11" s="1" t="s">
        <v>10</v>
      </c>
      <c r="C11" s="1" t="s">
        <v>3</v>
      </c>
      <c r="D11" s="2">
        <v>13.89</v>
      </c>
      <c r="E11" s="1"/>
      <c r="F11" s="1"/>
      <c r="G11" s="1"/>
      <c r="H11" s="4" t="s">
        <v>31</v>
      </c>
      <c r="I11" s="10" t="s">
        <v>3</v>
      </c>
      <c r="J11" s="1"/>
      <c r="K11" s="1"/>
      <c r="L11" s="12"/>
      <c r="N11" s="1" t="s">
        <v>16</v>
      </c>
    </row>
    <row r="12" spans="1:16" x14ac:dyDescent="0.3">
      <c r="A12" s="3">
        <v>43839</v>
      </c>
      <c r="B12" s="1" t="s">
        <v>18</v>
      </c>
      <c r="C12" s="1" t="s">
        <v>6</v>
      </c>
      <c r="D12" s="2">
        <v>2.35</v>
      </c>
      <c r="E12" s="1"/>
      <c r="F12" s="1"/>
      <c r="G12" s="1"/>
      <c r="H12" s="4" t="s">
        <v>29</v>
      </c>
      <c r="I12" s="7">
        <f>SUMIF($C$2:$C$41,I11,$D$2:$D41)</f>
        <v>367.15999999999997</v>
      </c>
      <c r="J12" s="1"/>
      <c r="K12" s="1"/>
      <c r="N12" s="1" t="s">
        <v>14</v>
      </c>
    </row>
    <row r="13" spans="1:16" x14ac:dyDescent="0.3">
      <c r="A13" s="3">
        <v>43840</v>
      </c>
      <c r="B13" s="1" t="s">
        <v>19</v>
      </c>
      <c r="C13" s="1" t="s">
        <v>6</v>
      </c>
      <c r="D13" s="2">
        <v>3.24</v>
      </c>
      <c r="E13" s="1"/>
      <c r="F13" s="1"/>
      <c r="G13" s="1"/>
      <c r="H13" s="5"/>
      <c r="J13" s="1"/>
      <c r="K13" s="1"/>
      <c r="N13" s="1" t="s">
        <v>26</v>
      </c>
    </row>
    <row r="14" spans="1:16" x14ac:dyDescent="0.3">
      <c r="A14" s="3">
        <v>43840</v>
      </c>
      <c r="B14" s="1" t="s">
        <v>13</v>
      </c>
      <c r="C14" s="1" t="s">
        <v>7</v>
      </c>
      <c r="D14" s="2">
        <v>19.32</v>
      </c>
      <c r="E14" s="1"/>
      <c r="F14" s="1"/>
      <c r="G14" s="1"/>
      <c r="H14" s="4" t="s">
        <v>34</v>
      </c>
      <c r="I14" s="10" t="s">
        <v>19</v>
      </c>
      <c r="J14" s="1"/>
      <c r="K14" s="1"/>
      <c r="N14" s="1" t="s">
        <v>27</v>
      </c>
    </row>
    <row r="15" spans="1:16" x14ac:dyDescent="0.3">
      <c r="A15" s="3">
        <v>43842</v>
      </c>
      <c r="B15" s="1" t="s">
        <v>18</v>
      </c>
      <c r="C15" s="1" t="s">
        <v>6</v>
      </c>
      <c r="D15" s="2">
        <v>5.46</v>
      </c>
      <c r="E15" s="1"/>
      <c r="F15" s="1"/>
      <c r="G15" s="1"/>
      <c r="H15" s="4" t="s">
        <v>29</v>
      </c>
      <c r="I15" s="7">
        <f>SUMIF($B$2:$B$41,I14,$D$2:$D$41)</f>
        <v>9.7200000000000006</v>
      </c>
      <c r="J15" s="1"/>
      <c r="K15" s="1"/>
      <c r="N15" s="1" t="s">
        <v>24</v>
      </c>
    </row>
    <row r="16" spans="1:16" x14ac:dyDescent="0.3">
      <c r="A16" s="3">
        <v>43842</v>
      </c>
      <c r="B16" s="1" t="s">
        <v>16</v>
      </c>
      <c r="C16" s="1" t="s">
        <v>6</v>
      </c>
      <c r="D16" s="2">
        <v>29.01</v>
      </c>
      <c r="E16" s="1"/>
      <c r="F16" s="1"/>
      <c r="G16" s="1"/>
      <c r="H16" s="1"/>
      <c r="I16" s="1"/>
      <c r="J16" s="1"/>
      <c r="K16" s="1"/>
      <c r="N16" s="1" t="s">
        <v>15</v>
      </c>
    </row>
    <row r="17" spans="1:14" x14ac:dyDescent="0.3">
      <c r="A17" s="3">
        <v>43843</v>
      </c>
      <c r="B17" s="1" t="s">
        <v>14</v>
      </c>
      <c r="C17" s="1" t="s">
        <v>3</v>
      </c>
      <c r="D17" s="2">
        <v>39.119999999999997</v>
      </c>
      <c r="E17" s="1"/>
      <c r="F17" s="1"/>
      <c r="G17" s="1"/>
      <c r="H17" s="1"/>
      <c r="I17" s="1"/>
      <c r="J17" s="1"/>
      <c r="K17" s="1"/>
      <c r="N17" s="1" t="s">
        <v>25</v>
      </c>
    </row>
    <row r="18" spans="1:14" x14ac:dyDescent="0.3">
      <c r="A18" s="3">
        <v>43843</v>
      </c>
      <c r="B18" s="1" t="s">
        <v>10</v>
      </c>
      <c r="C18" s="1" t="s">
        <v>3</v>
      </c>
      <c r="D18" s="2">
        <v>87.23</v>
      </c>
      <c r="E18" s="1"/>
      <c r="F18" s="1"/>
      <c r="G18" s="1"/>
      <c r="H18" s="1"/>
      <c r="I18" s="1" t="s">
        <v>39</v>
      </c>
      <c r="J18" s="1"/>
      <c r="K18" s="1"/>
      <c r="N18" s="1" t="s">
        <v>17</v>
      </c>
    </row>
    <row r="19" spans="1:14" x14ac:dyDescent="0.3">
      <c r="A19" s="3">
        <v>43845</v>
      </c>
      <c r="B19" s="1" t="s">
        <v>18</v>
      </c>
      <c r="C19" s="1" t="s">
        <v>6</v>
      </c>
      <c r="D19" s="2">
        <v>2.35</v>
      </c>
      <c r="E19" s="1"/>
      <c r="F19" s="1"/>
      <c r="G19" s="1"/>
      <c r="H19" s="1"/>
      <c r="I19" s="1" t="s">
        <v>40</v>
      </c>
      <c r="J19" s="1"/>
      <c r="K19" s="1"/>
      <c r="N19" s="1" t="s">
        <v>21</v>
      </c>
    </row>
    <row r="20" spans="1:14" x14ac:dyDescent="0.3">
      <c r="A20" s="3">
        <v>43845</v>
      </c>
      <c r="B20" s="1" t="s">
        <v>13</v>
      </c>
      <c r="C20" s="1" t="s">
        <v>7</v>
      </c>
      <c r="D20" s="2">
        <v>10.08</v>
      </c>
      <c r="E20" s="1"/>
      <c r="F20" s="1"/>
      <c r="G20" s="1"/>
      <c r="H20" s="1"/>
      <c r="I20" s="1" t="s">
        <v>42</v>
      </c>
      <c r="J20" s="1"/>
      <c r="K20" s="1"/>
    </row>
    <row r="21" spans="1:14" x14ac:dyDescent="0.3">
      <c r="A21" s="3">
        <v>43846</v>
      </c>
      <c r="B21" s="1" t="s">
        <v>26</v>
      </c>
      <c r="C21" s="1" t="s">
        <v>3</v>
      </c>
      <c r="D21" s="2">
        <v>27.34</v>
      </c>
      <c r="E21" s="1"/>
      <c r="F21" s="1"/>
      <c r="G21" s="1"/>
      <c r="H21" s="1"/>
      <c r="I21" s="1"/>
      <c r="J21" s="1"/>
      <c r="K21" s="1"/>
    </row>
    <row r="22" spans="1:14" x14ac:dyDescent="0.3">
      <c r="A22" s="3">
        <v>43846</v>
      </c>
      <c r="B22" s="1" t="s">
        <v>27</v>
      </c>
      <c r="C22" s="1" t="s">
        <v>3</v>
      </c>
      <c r="D22" s="2">
        <v>13.45</v>
      </c>
      <c r="E22" s="1"/>
      <c r="F22" s="1"/>
      <c r="G22" s="1"/>
      <c r="H22" s="1"/>
      <c r="I22" s="1"/>
      <c r="J22" s="1"/>
      <c r="K22" s="1"/>
    </row>
    <row r="23" spans="1:14" x14ac:dyDescent="0.3">
      <c r="A23" s="3">
        <v>43848</v>
      </c>
      <c r="B23" s="1" t="s">
        <v>24</v>
      </c>
      <c r="C23" s="1" t="s">
        <v>22</v>
      </c>
      <c r="D23" s="2">
        <v>17.2</v>
      </c>
      <c r="E23" s="1"/>
      <c r="F23" s="1"/>
      <c r="G23" s="1"/>
      <c r="H23" s="1"/>
      <c r="I23" s="1"/>
      <c r="J23" s="1"/>
      <c r="K23" s="1"/>
    </row>
    <row r="24" spans="1:14" x14ac:dyDescent="0.3">
      <c r="A24" s="3">
        <v>43848</v>
      </c>
      <c r="B24" s="1" t="s">
        <v>14</v>
      </c>
      <c r="C24" s="1" t="s">
        <v>3</v>
      </c>
      <c r="D24" s="2">
        <v>19.84</v>
      </c>
      <c r="E24" s="1"/>
      <c r="F24" s="1"/>
      <c r="G24" s="1"/>
      <c r="H24" s="1"/>
      <c r="I24" s="1"/>
      <c r="J24" s="1"/>
      <c r="K24" s="1"/>
    </row>
    <row r="25" spans="1:14" x14ac:dyDescent="0.3">
      <c r="A25" s="3">
        <v>43849</v>
      </c>
      <c r="B25" s="1" t="s">
        <v>18</v>
      </c>
      <c r="C25" s="1" t="s">
        <v>6</v>
      </c>
      <c r="D25" s="2">
        <v>2.35</v>
      </c>
      <c r="E25" s="1"/>
      <c r="F25" s="1"/>
      <c r="G25" s="1"/>
      <c r="H25" s="1"/>
      <c r="I25" s="1"/>
      <c r="J25" s="1"/>
      <c r="K25" s="1"/>
    </row>
    <row r="26" spans="1:14" x14ac:dyDescent="0.3">
      <c r="A26" s="3">
        <v>43851</v>
      </c>
      <c r="B26" s="1" t="s">
        <v>15</v>
      </c>
      <c r="C26" s="1" t="s">
        <v>7</v>
      </c>
      <c r="D26" s="2">
        <v>12.76</v>
      </c>
      <c r="E26" s="1"/>
      <c r="F26" s="1"/>
      <c r="G26" s="1"/>
      <c r="H26" s="1"/>
      <c r="I26" s="1"/>
      <c r="J26" s="1" t="b">
        <f>I9=MAX(IF($A$2:$A$41=I6,$D$2:$D$41))</f>
        <v>0</v>
      </c>
      <c r="K26" s="1"/>
    </row>
    <row r="27" spans="1:14" x14ac:dyDescent="0.3">
      <c r="A27" s="3">
        <v>43851</v>
      </c>
      <c r="B27" s="1" t="s">
        <v>20</v>
      </c>
      <c r="C27" s="1" t="s">
        <v>11</v>
      </c>
      <c r="D27" s="2">
        <v>18.43</v>
      </c>
      <c r="E27" s="1"/>
      <c r="F27" s="11"/>
      <c r="G27" s="1"/>
      <c r="H27" s="1"/>
      <c r="I27" s="1"/>
      <c r="J27" s="1"/>
      <c r="K27" s="1"/>
    </row>
    <row r="28" spans="1:14" x14ac:dyDescent="0.3">
      <c r="A28" s="3">
        <v>43851</v>
      </c>
      <c r="B28" s="1" t="s">
        <v>10</v>
      </c>
      <c r="C28" s="1" t="s">
        <v>3</v>
      </c>
      <c r="D28" s="2">
        <v>20.87</v>
      </c>
      <c r="E28" s="1"/>
      <c r="F28" s="1"/>
      <c r="G28" s="1"/>
      <c r="H28" s="1"/>
      <c r="I28" s="1"/>
      <c r="J28" s="1"/>
      <c r="K28" s="1"/>
    </row>
    <row r="29" spans="1:14" x14ac:dyDescent="0.3">
      <c r="A29" s="3">
        <v>43853</v>
      </c>
      <c r="B29" s="1" t="s">
        <v>25</v>
      </c>
      <c r="C29" s="1" t="s">
        <v>22</v>
      </c>
      <c r="D29" s="2">
        <v>62.38</v>
      </c>
      <c r="E29" s="1"/>
      <c r="F29" s="1"/>
      <c r="G29" s="1"/>
      <c r="H29" s="1"/>
      <c r="I29" s="1"/>
      <c r="J29" s="1"/>
      <c r="K29" s="1"/>
    </row>
    <row r="30" spans="1:14" x14ac:dyDescent="0.3">
      <c r="A30" s="3">
        <v>43853</v>
      </c>
      <c r="B30" s="1" t="s">
        <v>17</v>
      </c>
      <c r="C30" s="1" t="s">
        <v>6</v>
      </c>
      <c r="D30" s="2">
        <v>45.93</v>
      </c>
      <c r="E30" s="1"/>
      <c r="F30" s="1"/>
      <c r="G30" s="1"/>
      <c r="H30" s="1"/>
      <c r="I30" s="1"/>
      <c r="J30" s="1"/>
      <c r="K30" s="1"/>
    </row>
    <row r="31" spans="1:14" x14ac:dyDescent="0.3">
      <c r="A31" s="3">
        <v>43854</v>
      </c>
      <c r="B31" s="1" t="s">
        <v>15</v>
      </c>
      <c r="C31" s="1" t="s">
        <v>7</v>
      </c>
      <c r="D31" s="2">
        <v>8.67</v>
      </c>
      <c r="E31" s="1"/>
      <c r="F31" s="1"/>
      <c r="G31" s="1"/>
      <c r="H31" s="1"/>
      <c r="I31" s="1"/>
      <c r="J31" s="1"/>
      <c r="K31" s="1"/>
    </row>
    <row r="32" spans="1:14" x14ac:dyDescent="0.3">
      <c r="A32" s="3">
        <v>43854</v>
      </c>
      <c r="B32" s="1" t="s">
        <v>21</v>
      </c>
      <c r="C32" s="1" t="s">
        <v>4</v>
      </c>
      <c r="D32" s="2">
        <v>356.12</v>
      </c>
      <c r="E32" s="1"/>
      <c r="F32" s="1"/>
      <c r="G32" s="1"/>
      <c r="H32" s="1"/>
      <c r="I32" s="1"/>
      <c r="J32" s="1"/>
      <c r="K32" s="1"/>
    </row>
    <row r="33" spans="1:14" x14ac:dyDescent="0.3">
      <c r="A33" s="3">
        <v>43856</v>
      </c>
      <c r="B33" s="1" t="s">
        <v>14</v>
      </c>
      <c r="C33" s="1" t="s">
        <v>3</v>
      </c>
      <c r="D33" s="2">
        <v>52.74</v>
      </c>
      <c r="E33" s="1"/>
      <c r="F33" s="1"/>
      <c r="G33" s="1"/>
      <c r="H33" s="1"/>
      <c r="I33" s="1"/>
      <c r="J33" s="1"/>
      <c r="K33" s="1"/>
    </row>
    <row r="34" spans="1:14" x14ac:dyDescent="0.3">
      <c r="A34" s="3">
        <v>43857</v>
      </c>
      <c r="B34" s="1" t="s">
        <v>18</v>
      </c>
      <c r="C34" s="1" t="s">
        <v>6</v>
      </c>
      <c r="D34" s="2">
        <v>10.79</v>
      </c>
      <c r="E34" s="1"/>
      <c r="F34" s="1"/>
      <c r="G34" s="1"/>
      <c r="H34" s="1"/>
      <c r="I34" s="1"/>
      <c r="J34" s="1"/>
      <c r="K34" s="1"/>
    </row>
    <row r="35" spans="1:14" x14ac:dyDescent="0.3">
      <c r="A35" s="3">
        <v>43857</v>
      </c>
      <c r="B35" s="1" t="s">
        <v>19</v>
      </c>
      <c r="C35" s="1" t="s">
        <v>6</v>
      </c>
      <c r="D35" s="2">
        <v>3.24</v>
      </c>
      <c r="E35" s="1"/>
      <c r="F35" s="1"/>
      <c r="G35" s="1"/>
      <c r="H35" s="1"/>
      <c r="I35" s="1"/>
      <c r="J35" s="1"/>
      <c r="K35" s="1"/>
    </row>
    <row r="36" spans="1:14" x14ac:dyDescent="0.3">
      <c r="A36" s="3">
        <v>43857</v>
      </c>
      <c r="B36" s="1" t="s">
        <v>10</v>
      </c>
      <c r="C36" s="1" t="s">
        <v>3</v>
      </c>
      <c r="D36" s="2">
        <v>12.84</v>
      </c>
      <c r="E36" s="1"/>
      <c r="F36" s="1"/>
      <c r="G36" s="1"/>
      <c r="H36" s="1"/>
      <c r="I36" s="1"/>
      <c r="J36" s="1"/>
      <c r="K36" s="1"/>
    </row>
    <row r="37" spans="1:14" x14ac:dyDescent="0.3">
      <c r="A37" s="3">
        <v>43858</v>
      </c>
      <c r="B37" s="1" t="s">
        <v>18</v>
      </c>
      <c r="C37" s="1" t="s">
        <v>6</v>
      </c>
      <c r="D37" s="2">
        <v>2.35</v>
      </c>
      <c r="E37" s="1"/>
      <c r="F37" s="1"/>
      <c r="G37" s="1"/>
      <c r="H37" s="1"/>
      <c r="I37" s="1"/>
      <c r="J37" s="1"/>
      <c r="K37" s="1"/>
    </row>
    <row r="38" spans="1:14" x14ac:dyDescent="0.3">
      <c r="A38" s="3">
        <v>43860</v>
      </c>
      <c r="B38" s="1" t="s">
        <v>15</v>
      </c>
      <c r="C38" s="1" t="s">
        <v>7</v>
      </c>
      <c r="D38" s="2">
        <v>9.23</v>
      </c>
      <c r="E38" s="1"/>
      <c r="F38" s="1"/>
      <c r="G38" s="1"/>
      <c r="H38" s="1"/>
      <c r="I38" s="1"/>
      <c r="J38" s="1"/>
      <c r="K38" s="1"/>
    </row>
    <row r="39" spans="1:14" x14ac:dyDescent="0.3">
      <c r="A39" s="3">
        <v>43860</v>
      </c>
      <c r="B39" s="1" t="s">
        <v>21</v>
      </c>
      <c r="C39" s="1" t="s">
        <v>4</v>
      </c>
      <c r="D39" s="2">
        <v>45.28</v>
      </c>
      <c r="E39" s="1"/>
      <c r="F39" s="1"/>
      <c r="G39" s="1"/>
      <c r="H39" s="1"/>
      <c r="I39" s="1"/>
      <c r="J39" s="1"/>
      <c r="K39" s="1"/>
    </row>
    <row r="40" spans="1:14" x14ac:dyDescent="0.3">
      <c r="A40" s="3">
        <v>43861</v>
      </c>
      <c r="B40" s="1" t="s">
        <v>26</v>
      </c>
      <c r="C40" s="1" t="s">
        <v>3</v>
      </c>
      <c r="D40" s="2">
        <v>34.65</v>
      </c>
      <c r="E40" s="1"/>
      <c r="F40" s="1"/>
      <c r="G40" s="1"/>
      <c r="H40" s="1"/>
      <c r="I40" s="1"/>
      <c r="J40" s="1"/>
      <c r="K40" s="1"/>
    </row>
    <row r="41" spans="1:14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N41" s="1"/>
    </row>
    <row r="42" spans="1:14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N42" s="1"/>
    </row>
    <row r="43" spans="1:14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N43" s="1"/>
    </row>
    <row r="44" spans="1:14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N44" s="1"/>
    </row>
    <row r="45" spans="1:14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N45" s="1"/>
    </row>
    <row r="46" spans="1:1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N46" s="1"/>
    </row>
    <row r="47" spans="1:1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N47" s="1"/>
    </row>
    <row r="48" spans="1:1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N48" s="1"/>
    </row>
    <row r="49" spans="1:1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N49" s="1"/>
    </row>
    <row r="50" spans="1:1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N50" s="1"/>
    </row>
    <row r="51" spans="1:14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N51" s="1"/>
    </row>
    <row r="52" spans="1:1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N52" s="1"/>
    </row>
    <row r="53" spans="1:1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N53" s="1"/>
    </row>
    <row r="54" spans="1:1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N54" s="1"/>
    </row>
    <row r="55" spans="1:1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4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</sheetData>
  <mergeCells count="1">
    <mergeCell ref="F4:I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6</xdr:col>
                    <xdr:colOff>121920</xdr:colOff>
                    <xdr:row>16</xdr:row>
                    <xdr:rowOff>76200</xdr:rowOff>
                  </from>
                  <to>
                    <xdr:col>7</xdr:col>
                    <xdr:colOff>480060</xdr:colOff>
                    <xdr:row>18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5</xdr:col>
                    <xdr:colOff>632460</xdr:colOff>
                    <xdr:row>20</xdr:row>
                    <xdr:rowOff>137160</xdr:rowOff>
                  </from>
                  <to>
                    <xdr:col>7</xdr:col>
                    <xdr:colOff>533400</xdr:colOff>
                    <xdr:row>23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3813-E420-4CE3-8DA7-F77B01128541}">
  <dimension ref="A1:O40"/>
  <sheetViews>
    <sheetView tabSelected="1" topLeftCell="A7" workbookViewId="0">
      <selection activeCell="G26" sqref="G26"/>
    </sheetView>
  </sheetViews>
  <sheetFormatPr defaultRowHeight="14.4" x14ac:dyDescent="0.3"/>
  <cols>
    <col min="1" max="1" width="15.109375" customWidth="1"/>
    <col min="3" max="3" width="10.44140625" customWidth="1"/>
    <col min="4" max="4" width="9.77734375" customWidth="1"/>
    <col min="7" max="7" width="12.5546875" bestFit="1" customWidth="1"/>
    <col min="8" max="8" width="9.88671875" bestFit="1" customWidth="1"/>
    <col min="9" max="10" width="7.88671875" bestFit="1" customWidth="1"/>
    <col min="11" max="11" width="12.109375" bestFit="1" customWidth="1"/>
    <col min="12" max="12" width="9.109375" bestFit="1" customWidth="1"/>
    <col min="13" max="13" width="6" bestFit="1" customWidth="1"/>
    <col min="14" max="14" width="10.88671875" bestFit="1" customWidth="1"/>
    <col min="15" max="15" width="10.77734375" bestFit="1" customWidth="1"/>
  </cols>
  <sheetData>
    <row r="1" spans="1:15" x14ac:dyDescent="0.3">
      <c r="A1" s="6" t="s">
        <v>0</v>
      </c>
      <c r="B1" s="6" t="s">
        <v>1</v>
      </c>
      <c r="C1" s="6" t="s">
        <v>2</v>
      </c>
      <c r="D1" s="6" t="s">
        <v>32</v>
      </c>
    </row>
    <row r="2" spans="1:15" x14ac:dyDescent="0.3">
      <c r="A2" s="3">
        <v>43831</v>
      </c>
      <c r="B2" s="1" t="s">
        <v>18</v>
      </c>
      <c r="C2" s="1" t="s">
        <v>6</v>
      </c>
      <c r="D2" s="2">
        <v>2.35</v>
      </c>
      <c r="G2" s="14" t="s">
        <v>49</v>
      </c>
      <c r="H2" s="14" t="s">
        <v>48</v>
      </c>
    </row>
    <row r="3" spans="1:15" x14ac:dyDescent="0.3">
      <c r="A3" s="3">
        <v>43831</v>
      </c>
      <c r="B3" s="1" t="s">
        <v>5</v>
      </c>
      <c r="C3" s="1" t="s">
        <v>4</v>
      </c>
      <c r="D3" s="2">
        <v>23.87</v>
      </c>
      <c r="G3" s="14" t="s">
        <v>46</v>
      </c>
      <c r="H3" t="s">
        <v>4</v>
      </c>
      <c r="I3" t="s">
        <v>22</v>
      </c>
      <c r="J3" t="s">
        <v>7</v>
      </c>
      <c r="K3" t="s">
        <v>3</v>
      </c>
      <c r="L3" t="s">
        <v>8</v>
      </c>
      <c r="M3" t="s">
        <v>11</v>
      </c>
      <c r="N3" t="s">
        <v>6</v>
      </c>
      <c r="O3" t="s">
        <v>47</v>
      </c>
    </row>
    <row r="4" spans="1:15" x14ac:dyDescent="0.3">
      <c r="A4" s="3">
        <v>43832</v>
      </c>
      <c r="B4" s="1" t="s">
        <v>10</v>
      </c>
      <c r="C4" s="1" t="s">
        <v>3</v>
      </c>
      <c r="D4" s="2">
        <v>45.19</v>
      </c>
      <c r="G4" s="16" t="s">
        <v>19</v>
      </c>
      <c r="H4" s="15"/>
      <c r="I4" s="15"/>
      <c r="J4" s="15"/>
      <c r="K4" s="15"/>
      <c r="L4" s="15"/>
      <c r="M4" s="15"/>
      <c r="N4" s="15">
        <v>9.7200000000000006</v>
      </c>
      <c r="O4" s="15">
        <v>9.7200000000000006</v>
      </c>
    </row>
    <row r="5" spans="1:15" x14ac:dyDescent="0.3">
      <c r="A5" s="3">
        <v>43834</v>
      </c>
      <c r="B5" s="1" t="s">
        <v>12</v>
      </c>
      <c r="C5" s="1" t="s">
        <v>6</v>
      </c>
      <c r="D5" s="2">
        <v>32.22</v>
      </c>
      <c r="G5" s="16" t="s">
        <v>18</v>
      </c>
      <c r="H5" s="15"/>
      <c r="I5" s="15"/>
      <c r="J5" s="15"/>
      <c r="K5" s="15"/>
      <c r="L5" s="15"/>
      <c r="M5" s="15"/>
      <c r="N5" s="15">
        <v>28</v>
      </c>
      <c r="O5" s="15">
        <v>28</v>
      </c>
    </row>
    <row r="6" spans="1:15" x14ac:dyDescent="0.3">
      <c r="A6" s="3">
        <v>43834</v>
      </c>
      <c r="B6" s="1" t="s">
        <v>13</v>
      </c>
      <c r="C6" s="1" t="s">
        <v>7</v>
      </c>
      <c r="D6" s="2">
        <v>28.9</v>
      </c>
      <c r="G6" s="16" t="s">
        <v>26</v>
      </c>
      <c r="H6" s="15"/>
      <c r="I6" s="15"/>
      <c r="J6" s="15"/>
      <c r="K6" s="15">
        <v>61.989999999999995</v>
      </c>
      <c r="L6" s="15"/>
      <c r="M6" s="15"/>
      <c r="N6" s="15"/>
      <c r="O6" s="15">
        <v>61.989999999999995</v>
      </c>
    </row>
    <row r="7" spans="1:15" x14ac:dyDescent="0.3">
      <c r="A7" s="3">
        <v>43835</v>
      </c>
      <c r="B7" s="1" t="s">
        <v>19</v>
      </c>
      <c r="C7" s="1" t="s">
        <v>6</v>
      </c>
      <c r="D7" s="2">
        <v>3.24</v>
      </c>
      <c r="G7" s="16" t="s">
        <v>5</v>
      </c>
      <c r="H7" s="15">
        <v>23.87</v>
      </c>
      <c r="I7" s="15"/>
      <c r="J7" s="15"/>
      <c r="K7" s="15"/>
      <c r="L7" s="15"/>
      <c r="M7" s="15"/>
      <c r="N7" s="15"/>
      <c r="O7" s="15">
        <v>23.87</v>
      </c>
    </row>
    <row r="8" spans="1:15" x14ac:dyDescent="0.3">
      <c r="A8" s="3">
        <v>43835</v>
      </c>
      <c r="B8" s="1" t="s">
        <v>9</v>
      </c>
      <c r="C8" s="1" t="s">
        <v>8</v>
      </c>
      <c r="D8" s="2">
        <v>78.12</v>
      </c>
      <c r="G8" s="16" t="s">
        <v>27</v>
      </c>
      <c r="H8" s="15"/>
      <c r="I8" s="15"/>
      <c r="J8" s="15"/>
      <c r="K8" s="15">
        <v>13.45</v>
      </c>
      <c r="L8" s="15"/>
      <c r="M8" s="15"/>
      <c r="N8" s="15"/>
      <c r="O8" s="15">
        <v>13.45</v>
      </c>
    </row>
    <row r="9" spans="1:15" x14ac:dyDescent="0.3">
      <c r="A9" s="3">
        <v>43835</v>
      </c>
      <c r="B9" s="1" t="s">
        <v>20</v>
      </c>
      <c r="C9" s="1" t="s">
        <v>11</v>
      </c>
      <c r="D9" s="2">
        <v>42.09</v>
      </c>
      <c r="G9" s="16" t="s">
        <v>13</v>
      </c>
      <c r="H9" s="15"/>
      <c r="I9" s="15"/>
      <c r="J9" s="15">
        <v>58.3</v>
      </c>
      <c r="K9" s="15"/>
      <c r="L9" s="15"/>
      <c r="M9" s="15"/>
      <c r="N9" s="15"/>
      <c r="O9" s="15">
        <v>58.3</v>
      </c>
    </row>
    <row r="10" spans="1:15" x14ac:dyDescent="0.3">
      <c r="A10" s="3">
        <v>43838</v>
      </c>
      <c r="B10" s="1" t="s">
        <v>23</v>
      </c>
      <c r="C10" s="1" t="s">
        <v>22</v>
      </c>
      <c r="D10" s="2">
        <v>56.32</v>
      </c>
      <c r="G10" s="16" t="s">
        <v>15</v>
      </c>
      <c r="H10" s="15"/>
      <c r="I10" s="15"/>
      <c r="J10" s="15">
        <v>30.66</v>
      </c>
      <c r="K10" s="15"/>
      <c r="L10" s="15"/>
      <c r="M10" s="15"/>
      <c r="N10" s="15"/>
      <c r="O10" s="15">
        <v>30.66</v>
      </c>
    </row>
    <row r="11" spans="1:15" x14ac:dyDescent="0.3">
      <c r="A11" s="3">
        <v>43838</v>
      </c>
      <c r="B11" s="1" t="s">
        <v>10</v>
      </c>
      <c r="C11" s="1" t="s">
        <v>3</v>
      </c>
      <c r="D11" s="2">
        <v>13.89</v>
      </c>
      <c r="G11" s="16" t="s">
        <v>10</v>
      </c>
      <c r="H11" s="15"/>
      <c r="I11" s="15"/>
      <c r="J11" s="15"/>
      <c r="K11" s="15">
        <v>180.02</v>
      </c>
      <c r="L11" s="15"/>
      <c r="M11" s="15"/>
      <c r="N11" s="15"/>
      <c r="O11" s="15">
        <v>180.02</v>
      </c>
    </row>
    <row r="12" spans="1:15" x14ac:dyDescent="0.3">
      <c r="A12" s="3">
        <v>43839</v>
      </c>
      <c r="B12" s="1" t="s">
        <v>18</v>
      </c>
      <c r="C12" s="1" t="s">
        <v>6</v>
      </c>
      <c r="D12" s="2">
        <v>2.35</v>
      </c>
      <c r="G12" s="16" t="s">
        <v>21</v>
      </c>
      <c r="H12" s="15">
        <v>401.4</v>
      </c>
      <c r="I12" s="15"/>
      <c r="J12" s="15"/>
      <c r="K12" s="15"/>
      <c r="L12" s="15"/>
      <c r="M12" s="15"/>
      <c r="N12" s="15"/>
      <c r="O12" s="15">
        <v>401.4</v>
      </c>
    </row>
    <row r="13" spans="1:15" x14ac:dyDescent="0.3">
      <c r="A13" s="3">
        <v>43840</v>
      </c>
      <c r="B13" s="1" t="s">
        <v>19</v>
      </c>
      <c r="C13" s="1" t="s">
        <v>6</v>
      </c>
      <c r="D13" s="2">
        <v>3.24</v>
      </c>
      <c r="G13" s="16" t="s">
        <v>25</v>
      </c>
      <c r="H13" s="15"/>
      <c r="I13" s="15">
        <v>62.38</v>
      </c>
      <c r="J13" s="15"/>
      <c r="K13" s="15"/>
      <c r="L13" s="15"/>
      <c r="M13" s="15"/>
      <c r="N13" s="15"/>
      <c r="O13" s="15">
        <v>62.38</v>
      </c>
    </row>
    <row r="14" spans="1:15" x14ac:dyDescent="0.3">
      <c r="A14" s="3">
        <v>43840</v>
      </c>
      <c r="B14" s="1" t="s">
        <v>13</v>
      </c>
      <c r="C14" s="1" t="s">
        <v>7</v>
      </c>
      <c r="D14" s="2">
        <v>19.32</v>
      </c>
      <c r="G14" s="16" t="s">
        <v>20</v>
      </c>
      <c r="H14" s="15"/>
      <c r="I14" s="15"/>
      <c r="J14" s="15"/>
      <c r="K14" s="15"/>
      <c r="L14" s="15"/>
      <c r="M14" s="15">
        <v>60.52</v>
      </c>
      <c r="N14" s="15"/>
      <c r="O14" s="15">
        <v>60.52</v>
      </c>
    </row>
    <row r="15" spans="1:15" x14ac:dyDescent="0.3">
      <c r="A15" s="3">
        <v>43842</v>
      </c>
      <c r="B15" s="1" t="s">
        <v>18</v>
      </c>
      <c r="C15" s="1" t="s">
        <v>6</v>
      </c>
      <c r="D15" s="2">
        <v>5.46</v>
      </c>
      <c r="G15" s="16" t="s">
        <v>23</v>
      </c>
      <c r="H15" s="15"/>
      <c r="I15" s="15">
        <v>56.32</v>
      </c>
      <c r="J15" s="15"/>
      <c r="K15" s="15"/>
      <c r="L15" s="15"/>
      <c r="M15" s="15"/>
      <c r="N15" s="15"/>
      <c r="O15" s="15">
        <v>56.32</v>
      </c>
    </row>
    <row r="16" spans="1:15" x14ac:dyDescent="0.3">
      <c r="A16" s="3">
        <v>43842</v>
      </c>
      <c r="B16" s="1" t="s">
        <v>16</v>
      </c>
      <c r="C16" s="1" t="s">
        <v>6</v>
      </c>
      <c r="D16" s="2">
        <v>29.01</v>
      </c>
      <c r="G16" s="16" t="s">
        <v>24</v>
      </c>
      <c r="H16" s="15"/>
      <c r="I16" s="15">
        <v>17.2</v>
      </c>
      <c r="J16" s="15"/>
      <c r="K16" s="15"/>
      <c r="L16" s="15"/>
      <c r="M16" s="15"/>
      <c r="N16" s="15"/>
      <c r="O16" s="15">
        <v>17.2</v>
      </c>
    </row>
    <row r="17" spans="1:15" x14ac:dyDescent="0.3">
      <c r="A17" s="3">
        <v>43843</v>
      </c>
      <c r="B17" s="1" t="s">
        <v>14</v>
      </c>
      <c r="C17" s="1" t="s">
        <v>3</v>
      </c>
      <c r="D17" s="2">
        <v>39.119999999999997</v>
      </c>
      <c r="G17" s="16" t="s">
        <v>12</v>
      </c>
      <c r="H17" s="15"/>
      <c r="I17" s="15"/>
      <c r="J17" s="15"/>
      <c r="K17" s="15"/>
      <c r="L17" s="15"/>
      <c r="M17" s="15"/>
      <c r="N17" s="15">
        <v>32.22</v>
      </c>
      <c r="O17" s="15">
        <v>32.22</v>
      </c>
    </row>
    <row r="18" spans="1:15" x14ac:dyDescent="0.3">
      <c r="A18" s="3">
        <v>43843</v>
      </c>
      <c r="B18" s="1" t="s">
        <v>10</v>
      </c>
      <c r="C18" s="1" t="s">
        <v>3</v>
      </c>
      <c r="D18" s="2">
        <v>87.23</v>
      </c>
      <c r="G18" s="16" t="s">
        <v>14</v>
      </c>
      <c r="H18" s="15"/>
      <c r="I18" s="15"/>
      <c r="J18" s="15"/>
      <c r="K18" s="15">
        <v>111.69999999999999</v>
      </c>
      <c r="L18" s="15"/>
      <c r="M18" s="15"/>
      <c r="N18" s="15"/>
      <c r="O18" s="15">
        <v>111.69999999999999</v>
      </c>
    </row>
    <row r="19" spans="1:15" x14ac:dyDescent="0.3">
      <c r="A19" s="3">
        <v>43845</v>
      </c>
      <c r="B19" s="1" t="s">
        <v>18</v>
      </c>
      <c r="C19" s="1" t="s">
        <v>6</v>
      </c>
      <c r="D19" s="2">
        <v>2.35</v>
      </c>
      <c r="G19" s="16" t="s">
        <v>9</v>
      </c>
      <c r="H19" s="15"/>
      <c r="I19" s="15"/>
      <c r="J19" s="15"/>
      <c r="K19" s="15"/>
      <c r="L19" s="15">
        <v>78.12</v>
      </c>
      <c r="M19" s="15"/>
      <c r="N19" s="15"/>
      <c r="O19" s="15">
        <v>78.12</v>
      </c>
    </row>
    <row r="20" spans="1:15" x14ac:dyDescent="0.3">
      <c r="A20" s="3">
        <v>43845</v>
      </c>
      <c r="B20" s="1" t="s">
        <v>13</v>
      </c>
      <c r="C20" s="1" t="s">
        <v>7</v>
      </c>
      <c r="D20" s="2">
        <v>10.08</v>
      </c>
      <c r="G20" s="16" t="s">
        <v>17</v>
      </c>
      <c r="H20" s="15"/>
      <c r="I20" s="15"/>
      <c r="J20" s="15"/>
      <c r="K20" s="15"/>
      <c r="L20" s="15"/>
      <c r="M20" s="15"/>
      <c r="N20" s="15">
        <v>45.93</v>
      </c>
      <c r="O20" s="15">
        <v>45.93</v>
      </c>
    </row>
    <row r="21" spans="1:15" x14ac:dyDescent="0.3">
      <c r="A21" s="3">
        <v>43846</v>
      </c>
      <c r="B21" s="1" t="s">
        <v>26</v>
      </c>
      <c r="C21" s="1" t="s">
        <v>3</v>
      </c>
      <c r="D21" s="2">
        <v>27.34</v>
      </c>
      <c r="G21" s="16" t="s">
        <v>16</v>
      </c>
      <c r="H21" s="15"/>
      <c r="I21" s="15"/>
      <c r="J21" s="15"/>
      <c r="K21" s="15"/>
      <c r="L21" s="15"/>
      <c r="M21" s="15"/>
      <c r="N21" s="15">
        <v>29.01</v>
      </c>
      <c r="O21" s="15">
        <v>29.01</v>
      </c>
    </row>
    <row r="22" spans="1:15" x14ac:dyDescent="0.3">
      <c r="A22" s="3">
        <v>43846</v>
      </c>
      <c r="B22" s="1" t="s">
        <v>27</v>
      </c>
      <c r="C22" s="1" t="s">
        <v>3</v>
      </c>
      <c r="D22" s="2">
        <v>13.45</v>
      </c>
      <c r="G22" s="16" t="s">
        <v>47</v>
      </c>
      <c r="H22" s="15">
        <v>425.27</v>
      </c>
      <c r="I22" s="15">
        <v>135.9</v>
      </c>
      <c r="J22" s="15">
        <v>88.96</v>
      </c>
      <c r="K22" s="15">
        <v>367.15999999999997</v>
      </c>
      <c r="L22" s="15">
        <v>78.12</v>
      </c>
      <c r="M22" s="15">
        <v>60.52</v>
      </c>
      <c r="N22" s="15">
        <v>144.88</v>
      </c>
      <c r="O22" s="15">
        <v>1300.81</v>
      </c>
    </row>
    <row r="23" spans="1:15" x14ac:dyDescent="0.3">
      <c r="A23" s="3">
        <v>43848</v>
      </c>
      <c r="B23" s="1" t="s">
        <v>24</v>
      </c>
      <c r="C23" s="1" t="s">
        <v>22</v>
      </c>
      <c r="D23" s="2">
        <v>17.2</v>
      </c>
    </row>
    <row r="24" spans="1:15" x14ac:dyDescent="0.3">
      <c r="A24" s="3">
        <v>43848</v>
      </c>
      <c r="B24" s="1" t="s">
        <v>14</v>
      </c>
      <c r="C24" s="1" t="s">
        <v>3</v>
      </c>
      <c r="D24" s="2">
        <v>19.84</v>
      </c>
      <c r="G24" s="14" t="s">
        <v>2</v>
      </c>
      <c r="H24" t="s">
        <v>22</v>
      </c>
    </row>
    <row r="25" spans="1:15" x14ac:dyDescent="0.3">
      <c r="A25" s="3">
        <v>43849</v>
      </c>
      <c r="B25" s="1" t="s">
        <v>18</v>
      </c>
      <c r="C25" s="1" t="s">
        <v>6</v>
      </c>
      <c r="D25" s="2">
        <v>2.35</v>
      </c>
    </row>
    <row r="26" spans="1:15" x14ac:dyDescent="0.3">
      <c r="A26" s="3">
        <v>43851</v>
      </c>
      <c r="B26" s="1" t="s">
        <v>15</v>
      </c>
      <c r="C26" s="1" t="s">
        <v>7</v>
      </c>
      <c r="D26" s="2">
        <v>12.76</v>
      </c>
      <c r="G26" s="14" t="s">
        <v>46</v>
      </c>
    </row>
    <row r="27" spans="1:15" x14ac:dyDescent="0.3">
      <c r="A27" s="3">
        <v>43851</v>
      </c>
      <c r="B27" s="1" t="s">
        <v>20</v>
      </c>
      <c r="C27" s="1" t="s">
        <v>11</v>
      </c>
      <c r="D27" s="2">
        <v>18.43</v>
      </c>
      <c r="G27" s="16" t="s">
        <v>25</v>
      </c>
    </row>
    <row r="28" spans="1:15" x14ac:dyDescent="0.3">
      <c r="A28" s="3">
        <v>43851</v>
      </c>
      <c r="B28" s="1" t="s">
        <v>10</v>
      </c>
      <c r="C28" s="1" t="s">
        <v>3</v>
      </c>
      <c r="D28" s="2">
        <v>20.87</v>
      </c>
      <c r="G28" s="16" t="s">
        <v>23</v>
      </c>
    </row>
    <row r="29" spans="1:15" x14ac:dyDescent="0.3">
      <c r="A29" s="3">
        <v>43853</v>
      </c>
      <c r="B29" s="1" t="s">
        <v>25</v>
      </c>
      <c r="C29" s="1" t="s">
        <v>22</v>
      </c>
      <c r="D29" s="2">
        <v>62.38</v>
      </c>
      <c r="G29" s="16" t="s">
        <v>24</v>
      </c>
    </row>
    <row r="30" spans="1:15" x14ac:dyDescent="0.3">
      <c r="A30" s="3">
        <v>43853</v>
      </c>
      <c r="B30" s="1" t="s">
        <v>17</v>
      </c>
      <c r="C30" s="1" t="s">
        <v>6</v>
      </c>
      <c r="D30" s="2">
        <v>45.93</v>
      </c>
      <c r="G30" s="16" t="s">
        <v>47</v>
      </c>
    </row>
    <row r="31" spans="1:15" x14ac:dyDescent="0.3">
      <c r="A31" s="3">
        <v>43854</v>
      </c>
      <c r="B31" s="1" t="s">
        <v>15</v>
      </c>
      <c r="C31" s="1" t="s">
        <v>7</v>
      </c>
      <c r="D31" s="2">
        <v>8.67</v>
      </c>
    </row>
    <row r="32" spans="1:15" x14ac:dyDescent="0.3">
      <c r="A32" s="3">
        <v>43854</v>
      </c>
      <c r="B32" s="1" t="s">
        <v>21</v>
      </c>
      <c r="C32" s="1" t="s">
        <v>4</v>
      </c>
      <c r="D32" s="2">
        <v>356.12</v>
      </c>
    </row>
    <row r="33" spans="1:4" x14ac:dyDescent="0.3">
      <c r="A33" s="3">
        <v>43856</v>
      </c>
      <c r="B33" s="1" t="s">
        <v>14</v>
      </c>
      <c r="C33" s="1" t="s">
        <v>3</v>
      </c>
      <c r="D33" s="2">
        <v>52.74</v>
      </c>
    </row>
    <row r="34" spans="1:4" x14ac:dyDescent="0.3">
      <c r="A34" s="3">
        <v>43857</v>
      </c>
      <c r="B34" s="1" t="s">
        <v>18</v>
      </c>
      <c r="C34" s="1" t="s">
        <v>6</v>
      </c>
      <c r="D34" s="2">
        <v>10.79</v>
      </c>
    </row>
    <row r="35" spans="1:4" x14ac:dyDescent="0.3">
      <c r="A35" s="3">
        <v>43857</v>
      </c>
      <c r="B35" s="1" t="s">
        <v>19</v>
      </c>
      <c r="C35" s="1" t="s">
        <v>6</v>
      </c>
      <c r="D35" s="2">
        <v>3.24</v>
      </c>
    </row>
    <row r="36" spans="1:4" x14ac:dyDescent="0.3">
      <c r="A36" s="3">
        <v>43857</v>
      </c>
      <c r="B36" s="1" t="s">
        <v>10</v>
      </c>
      <c r="C36" s="1" t="s">
        <v>3</v>
      </c>
      <c r="D36" s="2">
        <v>12.84</v>
      </c>
    </row>
    <row r="37" spans="1:4" x14ac:dyDescent="0.3">
      <c r="A37" s="3">
        <v>43858</v>
      </c>
      <c r="B37" s="1" t="s">
        <v>18</v>
      </c>
      <c r="C37" s="1" t="s">
        <v>6</v>
      </c>
      <c r="D37" s="2">
        <v>2.35</v>
      </c>
    </row>
    <row r="38" spans="1:4" x14ac:dyDescent="0.3">
      <c r="A38" s="3">
        <v>43860</v>
      </c>
      <c r="B38" s="1" t="s">
        <v>15</v>
      </c>
      <c r="C38" s="1" t="s">
        <v>7</v>
      </c>
      <c r="D38" s="2">
        <v>9.23</v>
      </c>
    </row>
    <row r="39" spans="1:4" x14ac:dyDescent="0.3">
      <c r="A39" s="3">
        <v>43860</v>
      </c>
      <c r="B39" s="1" t="s">
        <v>21</v>
      </c>
      <c r="C39" s="1" t="s">
        <v>4</v>
      </c>
      <c r="D39" s="2">
        <v>45.28</v>
      </c>
    </row>
    <row r="40" spans="1:4" x14ac:dyDescent="0.3">
      <c r="A40" s="3">
        <v>43861</v>
      </c>
      <c r="B40" s="1" t="s">
        <v>26</v>
      </c>
      <c r="C40" s="1" t="s">
        <v>3</v>
      </c>
      <c r="D40" s="2">
        <v>34.65</v>
      </c>
    </row>
  </sheetData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6E1E-FD70-42EA-AB25-00864861774C}">
  <sheetPr codeName="Sheet2"/>
  <dimension ref="A1:K57"/>
  <sheetViews>
    <sheetView workbookViewId="0">
      <selection activeCell="D1" sqref="A1:D1048576"/>
    </sheetView>
  </sheetViews>
  <sheetFormatPr defaultRowHeight="14.4" x14ac:dyDescent="0.3"/>
  <cols>
    <col min="1" max="1" width="9.21875" bestFit="1" customWidth="1"/>
    <col min="2" max="2" width="16.44140625" bestFit="1" customWidth="1"/>
    <col min="3" max="3" width="10.109375" bestFit="1" customWidth="1"/>
    <col min="5" max="5" width="9.21875" bestFit="1" customWidth="1"/>
    <col min="9" max="9" width="10.44140625" bestFit="1" customWidth="1"/>
  </cols>
  <sheetData>
    <row r="1" spans="1:11" x14ac:dyDescent="0.3">
      <c r="A1" s="6" t="s">
        <v>0</v>
      </c>
      <c r="B1" s="6" t="s">
        <v>1</v>
      </c>
      <c r="C1" s="6" t="s">
        <v>2</v>
      </c>
      <c r="D1" s="6" t="s">
        <v>32</v>
      </c>
      <c r="E1" s="1"/>
      <c r="F1" s="1"/>
      <c r="G1" s="1"/>
      <c r="H1" s="1"/>
      <c r="I1" s="1"/>
      <c r="J1" s="1"/>
      <c r="K1" s="1"/>
    </row>
    <row r="2" spans="1:11" x14ac:dyDescent="0.3">
      <c r="A2" s="3">
        <v>43831</v>
      </c>
      <c r="B2" s="1" t="s">
        <v>18</v>
      </c>
      <c r="C2" s="1" t="s">
        <v>6</v>
      </c>
      <c r="D2" s="2">
        <v>2.35</v>
      </c>
      <c r="E2" s="3"/>
      <c r="F2" s="1"/>
      <c r="G2" s="1"/>
      <c r="H2" s="1"/>
      <c r="I2" s="1"/>
      <c r="J2" s="1"/>
      <c r="K2" s="1"/>
    </row>
    <row r="3" spans="1:11" x14ac:dyDescent="0.3">
      <c r="A3" s="3">
        <v>43831</v>
      </c>
      <c r="B3" s="1" t="s">
        <v>5</v>
      </c>
      <c r="C3" s="1" t="s">
        <v>4</v>
      </c>
      <c r="D3" s="2">
        <v>23.87</v>
      </c>
      <c r="E3" s="3"/>
      <c r="F3" s="1"/>
      <c r="G3" s="1"/>
      <c r="H3" s="1"/>
      <c r="I3" s="1"/>
      <c r="J3" s="1"/>
      <c r="K3" s="1"/>
    </row>
    <row r="4" spans="1:11" x14ac:dyDescent="0.3">
      <c r="A4" s="3">
        <v>43832</v>
      </c>
      <c r="B4" s="1" t="s">
        <v>10</v>
      </c>
      <c r="C4" s="1" t="s">
        <v>3</v>
      </c>
      <c r="D4" s="2">
        <v>45.19</v>
      </c>
      <c r="E4" s="1"/>
      <c r="F4" s="17" t="s">
        <v>35</v>
      </c>
      <c r="G4" s="17"/>
      <c r="H4" s="17"/>
      <c r="I4" s="17"/>
      <c r="J4" s="1"/>
      <c r="K4" s="1"/>
    </row>
    <row r="5" spans="1:11" x14ac:dyDescent="0.3">
      <c r="A5" s="3">
        <v>43834</v>
      </c>
      <c r="B5" s="1" t="s">
        <v>12</v>
      </c>
      <c r="C5" s="1" t="s">
        <v>6</v>
      </c>
      <c r="D5" s="2">
        <v>32.22</v>
      </c>
      <c r="E5" s="1"/>
      <c r="F5" s="1"/>
      <c r="G5" s="1"/>
      <c r="H5" s="1"/>
      <c r="I5" s="1"/>
      <c r="J5" s="1"/>
      <c r="K5" s="1"/>
    </row>
    <row r="6" spans="1:11" x14ac:dyDescent="0.3">
      <c r="A6" s="3">
        <v>43834</v>
      </c>
      <c r="B6" s="1" t="s">
        <v>13</v>
      </c>
      <c r="C6" s="1" t="s">
        <v>7</v>
      </c>
      <c r="D6" s="2">
        <v>28.9</v>
      </c>
      <c r="E6" s="1"/>
      <c r="F6" s="1"/>
      <c r="G6" s="1"/>
      <c r="H6" s="4" t="s">
        <v>28</v>
      </c>
      <c r="I6" s="9">
        <v>43844</v>
      </c>
      <c r="J6" s="1"/>
      <c r="K6" s="1" t="s">
        <v>36</v>
      </c>
    </row>
    <row r="7" spans="1:11" x14ac:dyDescent="0.3">
      <c r="A7" s="3">
        <v>43835</v>
      </c>
      <c r="B7" s="1" t="s">
        <v>19</v>
      </c>
      <c r="C7" s="1" t="s">
        <v>6</v>
      </c>
      <c r="D7" s="2">
        <v>3.24</v>
      </c>
      <c r="E7" s="1"/>
      <c r="F7" s="1"/>
      <c r="G7" s="1"/>
      <c r="H7" s="4" t="s">
        <v>29</v>
      </c>
      <c r="I7" s="7"/>
      <c r="J7" s="1"/>
      <c r="K7" s="1" t="s">
        <v>37</v>
      </c>
    </row>
    <row r="8" spans="1:11" x14ac:dyDescent="0.3">
      <c r="A8" s="3">
        <v>43835</v>
      </c>
      <c r="B8" s="1" t="s">
        <v>9</v>
      </c>
      <c r="C8" s="1" t="s">
        <v>8</v>
      </c>
      <c r="D8" s="2">
        <v>78.12</v>
      </c>
      <c r="E8" s="1"/>
      <c r="F8" s="1"/>
      <c r="G8" s="1"/>
      <c r="H8" s="4" t="s">
        <v>33</v>
      </c>
      <c r="I8" s="8"/>
      <c r="J8" s="1"/>
      <c r="K8" s="1" t="s">
        <v>38</v>
      </c>
    </row>
    <row r="9" spans="1:11" x14ac:dyDescent="0.3">
      <c r="A9" s="3">
        <v>43835</v>
      </c>
      <c r="B9" s="1" t="s">
        <v>20</v>
      </c>
      <c r="C9" s="1" t="s">
        <v>11</v>
      </c>
      <c r="D9" s="2">
        <v>42.09</v>
      </c>
      <c r="E9" s="1"/>
      <c r="F9" s="1"/>
      <c r="G9" s="1"/>
      <c r="H9" s="4" t="s">
        <v>30</v>
      </c>
      <c r="I9" s="7"/>
      <c r="J9" s="1"/>
      <c r="K9" s="1"/>
    </row>
    <row r="10" spans="1:11" x14ac:dyDescent="0.3">
      <c r="A10" s="3">
        <v>43838</v>
      </c>
      <c r="B10" s="1" t="s">
        <v>23</v>
      </c>
      <c r="C10" s="1" t="s">
        <v>22</v>
      </c>
      <c r="D10" s="2">
        <v>56.32</v>
      </c>
      <c r="E10" s="1"/>
      <c r="F10" s="1"/>
      <c r="G10" s="1"/>
      <c r="H10" s="4"/>
      <c r="I10" s="1"/>
      <c r="J10" s="1"/>
      <c r="K10" s="1"/>
    </row>
    <row r="11" spans="1:11" x14ac:dyDescent="0.3">
      <c r="A11" s="3">
        <v>43838</v>
      </c>
      <c r="B11" s="1" t="s">
        <v>10</v>
      </c>
      <c r="C11" s="1" t="s">
        <v>3</v>
      </c>
      <c r="D11" s="2">
        <v>13.89</v>
      </c>
      <c r="E11" s="1"/>
      <c r="F11" s="1"/>
      <c r="G11" s="1"/>
      <c r="H11" s="4" t="s">
        <v>31</v>
      </c>
      <c r="I11" s="10" t="s">
        <v>3</v>
      </c>
      <c r="J11" s="1"/>
      <c r="K11" s="1"/>
    </row>
    <row r="12" spans="1:11" x14ac:dyDescent="0.3">
      <c r="A12" s="3">
        <v>43839</v>
      </c>
      <c r="B12" s="1" t="s">
        <v>18</v>
      </c>
      <c r="C12" s="1" t="s">
        <v>6</v>
      </c>
      <c r="D12" s="2">
        <v>2.35</v>
      </c>
      <c r="E12" s="1"/>
      <c r="F12" s="1"/>
      <c r="G12" s="1"/>
      <c r="H12" s="4" t="s">
        <v>29</v>
      </c>
      <c r="I12" s="7"/>
      <c r="J12" s="1"/>
      <c r="K12" s="1"/>
    </row>
    <row r="13" spans="1:11" x14ac:dyDescent="0.3">
      <c r="A13" s="3">
        <v>43840</v>
      </c>
      <c r="B13" s="1" t="s">
        <v>19</v>
      </c>
      <c r="C13" s="1" t="s">
        <v>6</v>
      </c>
      <c r="D13" s="2">
        <v>3.24</v>
      </c>
      <c r="E13" s="1"/>
      <c r="F13" s="1"/>
      <c r="G13" s="1"/>
      <c r="H13" s="5"/>
      <c r="I13" s="1"/>
      <c r="J13" s="1"/>
      <c r="K13" s="1"/>
    </row>
    <row r="14" spans="1:11" x14ac:dyDescent="0.3">
      <c r="A14" s="3">
        <v>43840</v>
      </c>
      <c r="B14" s="1" t="s">
        <v>13</v>
      </c>
      <c r="C14" s="1" t="s">
        <v>7</v>
      </c>
      <c r="D14" s="2">
        <v>19.32</v>
      </c>
      <c r="E14" s="1"/>
      <c r="F14" s="1"/>
      <c r="G14" s="1"/>
      <c r="H14" s="4" t="s">
        <v>34</v>
      </c>
      <c r="I14" s="10" t="s">
        <v>13</v>
      </c>
      <c r="J14" s="1"/>
      <c r="K14" s="1"/>
    </row>
    <row r="15" spans="1:11" x14ac:dyDescent="0.3">
      <c r="A15" s="3">
        <v>43842</v>
      </c>
      <c r="B15" s="1" t="s">
        <v>18</v>
      </c>
      <c r="C15" s="1" t="s">
        <v>6</v>
      </c>
      <c r="D15" s="2">
        <v>5.46</v>
      </c>
      <c r="E15" s="1"/>
      <c r="F15" s="1"/>
      <c r="G15" s="1"/>
      <c r="H15" s="4" t="s">
        <v>29</v>
      </c>
      <c r="I15" s="7"/>
      <c r="J15" s="1"/>
      <c r="K15" s="1"/>
    </row>
    <row r="16" spans="1:11" x14ac:dyDescent="0.3">
      <c r="A16" s="3">
        <v>43842</v>
      </c>
      <c r="B16" s="1" t="s">
        <v>16</v>
      </c>
      <c r="C16" s="1" t="s">
        <v>6</v>
      </c>
      <c r="D16" s="2">
        <v>29.01</v>
      </c>
      <c r="E16" s="1"/>
      <c r="F16" s="1"/>
      <c r="G16" s="1"/>
      <c r="H16" s="1"/>
      <c r="I16" s="1"/>
      <c r="J16" s="1"/>
      <c r="K16" s="1"/>
    </row>
    <row r="17" spans="1:11" x14ac:dyDescent="0.3">
      <c r="A17" s="3">
        <v>43843</v>
      </c>
      <c r="B17" s="1" t="s">
        <v>14</v>
      </c>
      <c r="C17" s="1" t="s">
        <v>3</v>
      </c>
      <c r="D17" s="2">
        <v>39.119999999999997</v>
      </c>
      <c r="E17" s="1"/>
      <c r="F17" s="1"/>
      <c r="G17" s="1"/>
      <c r="H17" s="1"/>
      <c r="I17" s="1"/>
      <c r="J17" s="1"/>
      <c r="K17" s="1"/>
    </row>
    <row r="18" spans="1:11" x14ac:dyDescent="0.3">
      <c r="A18" s="3">
        <v>43843</v>
      </c>
      <c r="B18" s="1" t="s">
        <v>10</v>
      </c>
      <c r="C18" s="1" t="s">
        <v>3</v>
      </c>
      <c r="D18" s="2">
        <v>87.23</v>
      </c>
      <c r="E18" s="1"/>
      <c r="F18" s="1"/>
      <c r="G18" s="1"/>
      <c r="H18" s="1"/>
      <c r="I18" s="1"/>
      <c r="J18" s="1"/>
      <c r="K18" s="1"/>
    </row>
    <row r="19" spans="1:11" x14ac:dyDescent="0.3">
      <c r="A19" s="3">
        <v>43845</v>
      </c>
      <c r="B19" s="1" t="s">
        <v>18</v>
      </c>
      <c r="C19" s="1" t="s">
        <v>6</v>
      </c>
      <c r="D19" s="2">
        <v>2.35</v>
      </c>
      <c r="E19" s="1"/>
      <c r="F19" s="1"/>
      <c r="G19" s="1"/>
      <c r="H19" s="1"/>
      <c r="I19" s="1"/>
      <c r="J19" s="1"/>
      <c r="K19" s="1"/>
    </row>
    <row r="20" spans="1:11" x14ac:dyDescent="0.3">
      <c r="A20" s="3">
        <v>43845</v>
      </c>
      <c r="B20" s="1" t="s">
        <v>13</v>
      </c>
      <c r="C20" s="1" t="s">
        <v>7</v>
      </c>
      <c r="D20" s="2">
        <v>10.08</v>
      </c>
      <c r="E20" s="1"/>
      <c r="F20" s="1"/>
      <c r="G20" s="1"/>
      <c r="H20" s="1"/>
      <c r="I20" s="1"/>
      <c r="J20" s="1"/>
      <c r="K20" s="1"/>
    </row>
    <row r="21" spans="1:11" x14ac:dyDescent="0.3">
      <c r="A21" s="3">
        <v>43846</v>
      </c>
      <c r="B21" s="1" t="s">
        <v>26</v>
      </c>
      <c r="C21" s="1" t="s">
        <v>3</v>
      </c>
      <c r="D21" s="2">
        <v>27.34</v>
      </c>
      <c r="E21" s="1"/>
      <c r="F21" s="1"/>
      <c r="G21" s="1"/>
      <c r="H21" s="1"/>
      <c r="I21" s="1"/>
      <c r="J21" s="1"/>
      <c r="K21" s="1"/>
    </row>
    <row r="22" spans="1:11" x14ac:dyDescent="0.3">
      <c r="A22" s="3">
        <v>43846</v>
      </c>
      <c r="B22" s="1" t="s">
        <v>27</v>
      </c>
      <c r="C22" s="1" t="s">
        <v>3</v>
      </c>
      <c r="D22" s="2">
        <v>13.45</v>
      </c>
      <c r="E22" s="1"/>
      <c r="F22" s="1"/>
      <c r="G22" s="1"/>
      <c r="H22" s="1"/>
      <c r="I22" s="1"/>
      <c r="J22" s="1"/>
      <c r="K22" s="1"/>
    </row>
    <row r="23" spans="1:11" x14ac:dyDescent="0.3">
      <c r="A23" s="3">
        <v>43848</v>
      </c>
      <c r="B23" s="1" t="s">
        <v>24</v>
      </c>
      <c r="C23" s="1" t="s">
        <v>22</v>
      </c>
      <c r="D23" s="2">
        <v>17.2</v>
      </c>
      <c r="E23" s="1"/>
      <c r="F23" s="1"/>
      <c r="G23" s="1"/>
      <c r="H23" s="1"/>
      <c r="I23" s="1"/>
      <c r="J23" s="1"/>
      <c r="K23" s="1"/>
    </row>
    <row r="24" spans="1:11" x14ac:dyDescent="0.3">
      <c r="A24" s="3">
        <v>43848</v>
      </c>
      <c r="B24" s="1" t="s">
        <v>14</v>
      </c>
      <c r="C24" s="1" t="s">
        <v>3</v>
      </c>
      <c r="D24" s="2">
        <v>19.84</v>
      </c>
      <c r="E24" s="1"/>
      <c r="F24" s="1"/>
      <c r="G24" s="1"/>
      <c r="H24" s="1"/>
      <c r="I24" s="1"/>
      <c r="J24" s="1"/>
      <c r="K24" s="1"/>
    </row>
    <row r="25" spans="1:11" x14ac:dyDescent="0.3">
      <c r="A25" s="3">
        <v>43849</v>
      </c>
      <c r="B25" s="1" t="s">
        <v>18</v>
      </c>
      <c r="C25" s="1" t="s">
        <v>6</v>
      </c>
      <c r="D25" s="2">
        <v>2.35</v>
      </c>
      <c r="E25" s="1"/>
      <c r="F25" s="1"/>
      <c r="G25" s="1"/>
      <c r="H25" s="1"/>
      <c r="I25" s="1"/>
      <c r="J25" s="1"/>
      <c r="K25" s="1"/>
    </row>
    <row r="26" spans="1:11" x14ac:dyDescent="0.3">
      <c r="A26" s="3">
        <v>43851</v>
      </c>
      <c r="B26" s="1" t="s">
        <v>15</v>
      </c>
      <c r="C26" s="1" t="s">
        <v>7</v>
      </c>
      <c r="D26" s="2">
        <v>12.76</v>
      </c>
      <c r="E26" s="1"/>
      <c r="F26" s="1"/>
      <c r="G26" s="1"/>
      <c r="H26" s="1"/>
      <c r="I26" s="1"/>
      <c r="J26" s="1"/>
      <c r="K26" s="1"/>
    </row>
    <row r="27" spans="1:11" x14ac:dyDescent="0.3">
      <c r="A27" s="3">
        <v>43851</v>
      </c>
      <c r="B27" s="1" t="s">
        <v>20</v>
      </c>
      <c r="C27" s="1" t="s">
        <v>11</v>
      </c>
      <c r="D27" s="2">
        <v>18.43</v>
      </c>
      <c r="E27" s="1"/>
      <c r="F27" s="1"/>
      <c r="G27" s="1"/>
      <c r="H27" s="1"/>
      <c r="I27" s="1"/>
      <c r="J27" s="1"/>
      <c r="K27" s="1"/>
    </row>
    <row r="28" spans="1:11" x14ac:dyDescent="0.3">
      <c r="A28" s="3">
        <v>43851</v>
      </c>
      <c r="B28" s="1" t="s">
        <v>10</v>
      </c>
      <c r="C28" s="1" t="s">
        <v>3</v>
      </c>
      <c r="D28" s="2">
        <v>20.87</v>
      </c>
      <c r="E28" s="1"/>
      <c r="F28" s="1"/>
      <c r="G28" s="1"/>
      <c r="H28" s="1"/>
      <c r="I28" s="1"/>
      <c r="J28" s="1"/>
      <c r="K28" s="1"/>
    </row>
    <row r="29" spans="1:11" x14ac:dyDescent="0.3">
      <c r="A29" s="3">
        <v>43853</v>
      </c>
      <c r="B29" s="1" t="s">
        <v>25</v>
      </c>
      <c r="C29" s="1" t="s">
        <v>22</v>
      </c>
      <c r="D29" s="2">
        <v>62.38</v>
      </c>
      <c r="E29" s="1"/>
      <c r="F29" s="1"/>
      <c r="G29" s="1"/>
      <c r="H29" s="1"/>
      <c r="I29" s="1"/>
      <c r="J29" s="1"/>
      <c r="K29" s="1"/>
    </row>
    <row r="30" spans="1:11" x14ac:dyDescent="0.3">
      <c r="A30" s="3">
        <v>43853</v>
      </c>
      <c r="B30" s="1" t="s">
        <v>17</v>
      </c>
      <c r="C30" s="1" t="s">
        <v>6</v>
      </c>
      <c r="D30" s="2">
        <v>45.93</v>
      </c>
      <c r="E30" s="1"/>
      <c r="F30" s="1"/>
      <c r="G30" s="1"/>
      <c r="H30" s="1"/>
      <c r="I30" s="1"/>
      <c r="J30" s="1"/>
      <c r="K30" s="1"/>
    </row>
    <row r="31" spans="1:11" x14ac:dyDescent="0.3">
      <c r="A31" s="3">
        <v>43854</v>
      </c>
      <c r="B31" s="1" t="s">
        <v>15</v>
      </c>
      <c r="C31" s="1" t="s">
        <v>7</v>
      </c>
      <c r="D31" s="2">
        <v>8.67</v>
      </c>
      <c r="E31" s="1"/>
      <c r="F31" s="1"/>
      <c r="G31" s="1"/>
      <c r="H31" s="1"/>
      <c r="I31" s="1"/>
      <c r="J31" s="1"/>
      <c r="K31" s="1"/>
    </row>
    <row r="32" spans="1:11" x14ac:dyDescent="0.3">
      <c r="A32" s="3">
        <v>43854</v>
      </c>
      <c r="B32" s="1" t="s">
        <v>21</v>
      </c>
      <c r="C32" s="1" t="s">
        <v>4</v>
      </c>
      <c r="D32" s="2">
        <v>356.12</v>
      </c>
      <c r="E32" s="1"/>
      <c r="F32" s="1"/>
      <c r="G32" s="1"/>
      <c r="H32" s="1"/>
      <c r="I32" s="1"/>
      <c r="J32" s="1"/>
      <c r="K32" s="1"/>
    </row>
    <row r="33" spans="1:11" x14ac:dyDescent="0.3">
      <c r="A33" s="3">
        <v>43856</v>
      </c>
      <c r="B33" s="1" t="s">
        <v>14</v>
      </c>
      <c r="C33" s="1" t="s">
        <v>3</v>
      </c>
      <c r="D33" s="2">
        <v>52.74</v>
      </c>
      <c r="E33" s="1"/>
      <c r="F33" s="1"/>
      <c r="G33" s="1"/>
      <c r="H33" s="1"/>
      <c r="I33" s="1"/>
      <c r="J33" s="1"/>
      <c r="K33" s="1"/>
    </row>
    <row r="34" spans="1:11" x14ac:dyDescent="0.3">
      <c r="A34" s="3">
        <v>43857</v>
      </c>
      <c r="B34" s="1" t="s">
        <v>18</v>
      </c>
      <c r="C34" s="1" t="s">
        <v>6</v>
      </c>
      <c r="D34" s="2">
        <v>10.79</v>
      </c>
      <c r="E34" s="1"/>
      <c r="F34" s="1"/>
      <c r="G34" s="1"/>
      <c r="H34" s="1"/>
      <c r="I34" s="1"/>
      <c r="J34" s="1"/>
      <c r="K34" s="1"/>
    </row>
    <row r="35" spans="1:11" x14ac:dyDescent="0.3">
      <c r="A35" s="3">
        <v>43857</v>
      </c>
      <c r="B35" s="1" t="s">
        <v>19</v>
      </c>
      <c r="C35" s="1" t="s">
        <v>6</v>
      </c>
      <c r="D35" s="2">
        <v>3.24</v>
      </c>
      <c r="E35" s="1"/>
      <c r="F35" s="1"/>
      <c r="G35" s="1"/>
      <c r="H35" s="1"/>
      <c r="I35" s="1"/>
      <c r="J35" s="1"/>
      <c r="K35" s="1"/>
    </row>
    <row r="36" spans="1:11" x14ac:dyDescent="0.3">
      <c r="A36" s="3">
        <v>43857</v>
      </c>
      <c r="B36" s="1" t="s">
        <v>10</v>
      </c>
      <c r="C36" s="1" t="s">
        <v>3</v>
      </c>
      <c r="D36" s="2">
        <v>12.84</v>
      </c>
      <c r="E36" s="1"/>
      <c r="F36" s="1"/>
      <c r="G36" s="1"/>
      <c r="H36" s="1"/>
      <c r="I36" s="1"/>
      <c r="J36" s="1"/>
      <c r="K36" s="1"/>
    </row>
    <row r="37" spans="1:11" x14ac:dyDescent="0.3">
      <c r="A37" s="3">
        <v>43858</v>
      </c>
      <c r="B37" s="1" t="s">
        <v>18</v>
      </c>
      <c r="C37" s="1" t="s">
        <v>6</v>
      </c>
      <c r="D37" s="2">
        <v>2.35</v>
      </c>
      <c r="E37" s="1"/>
      <c r="F37" s="1"/>
      <c r="G37" s="1"/>
      <c r="H37" s="1"/>
      <c r="I37" s="1"/>
      <c r="J37" s="1"/>
      <c r="K37" s="1"/>
    </row>
    <row r="38" spans="1:11" x14ac:dyDescent="0.3">
      <c r="A38" s="3">
        <v>43860</v>
      </c>
      <c r="B38" s="1" t="s">
        <v>15</v>
      </c>
      <c r="C38" s="1" t="s">
        <v>7</v>
      </c>
      <c r="D38" s="2">
        <v>9.23</v>
      </c>
      <c r="E38" s="1"/>
      <c r="F38" s="1"/>
      <c r="G38" s="1"/>
      <c r="H38" s="1"/>
      <c r="I38" s="1"/>
      <c r="J38" s="1"/>
      <c r="K38" s="1"/>
    </row>
    <row r="39" spans="1:11" x14ac:dyDescent="0.3">
      <c r="A39" s="3">
        <v>43860</v>
      </c>
      <c r="B39" s="1" t="s">
        <v>21</v>
      </c>
      <c r="C39" s="1" t="s">
        <v>4</v>
      </c>
      <c r="D39" s="2">
        <v>45.28</v>
      </c>
      <c r="E39" s="1"/>
      <c r="F39" s="1"/>
      <c r="G39" s="1"/>
      <c r="H39" s="1"/>
      <c r="I39" s="1"/>
      <c r="J39" s="1"/>
      <c r="K39" s="1"/>
    </row>
    <row r="40" spans="1:11" x14ac:dyDescent="0.3">
      <c r="A40" s="3">
        <v>43861</v>
      </c>
      <c r="B40" s="1" t="s">
        <v>26</v>
      </c>
      <c r="C40" s="1" t="s">
        <v>3</v>
      </c>
      <c r="D40" s="2">
        <v>34.65</v>
      </c>
      <c r="E40" s="1"/>
      <c r="F40" s="1"/>
      <c r="G40" s="1"/>
      <c r="H40" s="1"/>
      <c r="I40" s="1"/>
      <c r="J40" s="1"/>
      <c r="K40" s="1"/>
    </row>
    <row r="41" spans="1:1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</sheetData>
  <mergeCells count="1">
    <mergeCell ref="F4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Balson</cp:lastModifiedBy>
  <cp:lastPrinted>2020-02-15T20:01:14Z</cp:lastPrinted>
  <dcterms:created xsi:type="dcterms:W3CDTF">2020-02-15T16:42:15Z</dcterms:created>
  <dcterms:modified xsi:type="dcterms:W3CDTF">2022-01-10T19:06:04Z</dcterms:modified>
</cp:coreProperties>
</file>